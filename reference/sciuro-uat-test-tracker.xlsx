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 Dashboard" sheetId="2" state="visible" r:id="rId4"/>
    <sheet name="UAT Test Cases" sheetId="3" state="visible" r:id="rId5"/>
  </sheets>
  <definedNames>
    <definedName function="false" hidden="true" localSheetId="2" name="_xlnm._FilterDatabase" vbProcedure="false">'UAT Test Cases'!$A$1:$M$1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<sst xmlns="http://schemas.openxmlformats.org/spreadsheetml/2006/main" count="1231" uniqueCount="786">
  <si>
    <t xml:space="preserve">Sciuro — UAT Test Tracker</t>
  </si>
  <si>
    <t xml:space="preserve">Covers every module and functionality planned across the engineering, UI/UX, and automation discussions.</t>
  </si>
  <si>
    <t xml:space="preserve">How to use this workbook</t>
  </si>
  <si>
    <t xml:space="preserve">1. Work through the 'UAT Test Cases' sheet, module by module — the Phase column tells you roughly which build phase (from the v4 engineering plan) needs to be done before that test is runnable.</t>
  </si>
  <si>
    <t xml:space="preserve">2. Set Status for each row using the dropdown: Not Tested, Pass, Fail, Blocked, N/A.</t>
  </si>
  <si>
    <t xml:space="preserve">3. Record what actually happened in 'Actual Result / Notes' whenever it differs from Expected — this is especially useful for Fail and Blocked rows.</t>
  </si>
  <si>
    <t xml:space="preserve">4. Fill in Tested By and Date Tested as you go.</t>
  </si>
  <si>
    <t xml:space="preserve">5. Check the 'Summary Dashboard' sheet for a live pass/fail rollup by module — it recalculates automatically as you update Status.</t>
  </si>
  <si>
    <t xml:space="preserve">Column reference</t>
  </si>
  <si>
    <t xml:space="preserve">Test ID — short code, prefixed by module (e.g. PAR-03 = Parsing test #3)</t>
  </si>
  <si>
    <t xml:space="preserve">Priority — Critical: must work correctly before anything else is trustworthy. High: core module correctness. Medium: UX polish and secondary paths. Low: nice-to-have / deferred scope.</t>
  </si>
  <si>
    <t xml:space="preserve">Phase — approximate mapping back to the v4 engineering plan's milestones/phases (A0-A6, B1-B7, C1-C3, D1-D3) or the automation plan. A guide for sequencing, not a rigid contract.</t>
  </si>
  <si>
    <t xml:space="preserve">Notes</t>
  </si>
  <si>
    <t xml:space="preserve">This tracker assumes CIMB, Maybank, and BSN as the three bank sources, plus Touch 'n Go eWallet, GrabPay, Boost, and ShopeePay as the e-wallet sources, per the planning discussion.</t>
  </si>
  <si>
    <t xml:space="preserve">Some tests (e.g. PAR-05, Bahasa Malaysia parsing) need you to actually trigger a real notification in that language/format — these can't be meaningfully faked, and are flagged High priority for exactly that reason.</t>
  </si>
  <si>
    <t xml:space="preserve">Desktop Companion tests are Low priority since that scope was explicitly deferred in the engineering plan — include them for completeness, not urgency.</t>
  </si>
  <si>
    <t xml:space="preserve">Sciuro UAT — Summary Dashboard</t>
  </si>
  <si>
    <t xml:space="preserve">Recalculates automatically from the UAT Test Cases sheet as Status is updated.</t>
  </si>
  <si>
    <t xml:space="preserve">Overall</t>
  </si>
  <si>
    <t xml:space="preserve">Total Tests</t>
  </si>
  <si>
    <t xml:space="preserve">Passed</t>
  </si>
  <si>
    <t xml:space="preserve">Failed</t>
  </si>
  <si>
    <t xml:space="preserve">Blocked</t>
  </si>
  <si>
    <t xml:space="preserve">Not Tested</t>
  </si>
  <si>
    <t xml:space="preserve">N/A</t>
  </si>
  <si>
    <t xml:space="preserve">% Complete</t>
  </si>
  <si>
    <t xml:space="preserve">% Pass Rate (of tested)</t>
  </si>
  <si>
    <t xml:space="preserve">By Module</t>
  </si>
  <si>
    <t xml:space="preserve">Module</t>
  </si>
  <si>
    <t xml:space="preserve">Total</t>
  </si>
  <si>
    <t xml:space="preserve">Onboarding</t>
  </si>
  <si>
    <t xml:space="preserve">Notification Capture</t>
  </si>
  <si>
    <t xml:space="preserve">Parsing</t>
  </si>
  <si>
    <t xml:space="preserve">Triage &amp; Categorization</t>
  </si>
  <si>
    <t xml:space="preserve">Transfer Detection</t>
  </si>
  <si>
    <t xml:space="preserve">Physical Cash Wallet</t>
  </si>
  <si>
    <t xml:space="preserve">E-Wallet Accounts</t>
  </si>
  <si>
    <t xml:space="preserve">Recurring Obligations</t>
  </si>
  <si>
    <t xml:space="preserve">Debt Ledger</t>
  </si>
  <si>
    <t xml:space="preserve">Balance &amp; Reconciliation</t>
  </si>
  <si>
    <t xml:space="preserve">Investment / Gold</t>
  </si>
  <si>
    <t xml:space="preserve">Budgeting</t>
  </si>
  <si>
    <t xml:space="preserve">Audit Log</t>
  </si>
  <si>
    <t xml:space="preserve">Cross-Module Cascades</t>
  </si>
  <si>
    <t xml:space="preserve">Net Position</t>
  </si>
  <si>
    <t xml:space="preserve">Review Inbox</t>
  </si>
  <si>
    <t xml:space="preserve">Kanban Board</t>
  </si>
  <si>
    <t xml:space="preserve">Home Dashboard</t>
  </si>
  <si>
    <t xml:space="preserve">Navigation &amp; UI Shell</t>
  </si>
  <si>
    <t xml:space="preserve">Security</t>
  </si>
  <si>
    <t xml:space="preserve">Empty/Loading States</t>
  </si>
  <si>
    <t xml:space="preserve">Settings</t>
  </si>
  <si>
    <t xml:space="preserve">Desktop Companion</t>
  </si>
  <si>
    <t xml:space="preserve">Test ID</t>
  </si>
  <si>
    <t xml:space="preserve">Feature</t>
  </si>
  <si>
    <t xml:space="preserve">Scenario</t>
  </si>
  <si>
    <t xml:space="preserve">Preconditions</t>
  </si>
  <si>
    <t xml:space="preserve">Test Steps</t>
  </si>
  <si>
    <t xml:space="preserve">Expected Result</t>
  </si>
  <si>
    <t xml:space="preserve">Priority</t>
  </si>
  <si>
    <t xml:space="preserve">Phase</t>
  </si>
  <si>
    <t xml:space="preserve">Status</t>
  </si>
  <si>
    <t xml:space="preserve">Actual Result / Notes</t>
  </si>
  <si>
    <t xml:space="preserve">Tested By</t>
  </si>
  <si>
    <t xml:space="preserve">Date Tested</t>
  </si>
  <si>
    <t xml:space="preserve">ONB-01</t>
  </si>
  <si>
    <t xml:space="preserve">First-run experience</t>
  </si>
  <si>
    <t xml:space="preserve">Welcome &amp; philosophy explainer displays</t>
  </si>
  <si>
    <t xml:space="preserve">Fresh install, first launch</t>
  </si>
  <si>
    <t xml:space="preserve">Install app and open for the first time</t>
  </si>
  <si>
    <t xml:space="preserve">Welcome screens explain the minimal-interaction philosophy in plain language before any setup is requested</t>
  </si>
  <si>
    <t xml:space="preserve">Medium</t>
  </si>
  <si>
    <t xml:space="preserve">Milestone C</t>
  </si>
  <si>
    <t xml:space="preserve">ONB-02</t>
  </si>
  <si>
    <t xml:space="preserve">Permission rationale</t>
  </si>
  <si>
    <t xml:space="preserve">Notification access request shows rationale first</t>
  </si>
  <si>
    <t xml:space="preserve">Onboarding in progress</t>
  </si>
  <si>
    <t xml:space="preserve">Reach the notification-access step</t>
  </si>
  <si>
    <t xml:space="preserve">A one-sentence explanation appears before the system permission dialog, not after</t>
  </si>
  <si>
    <t xml:space="preserve">Critical</t>
  </si>
  <si>
    <t xml:space="preserve">ONB-03</t>
  </si>
  <si>
    <t xml:space="preserve">Permission decline handling</t>
  </si>
  <si>
    <t xml:space="preserve">Declining notification access is handled gracefully</t>
  </si>
  <si>
    <t xml:space="preserve">On the permission step</t>
  </si>
  <si>
    <t xml:space="preserve">Deny the notification access request</t>
  </si>
  <si>
    <t xml:space="preserve">App does not crash; a clear path to grant access later from Settings is shown, no dead end</t>
  </si>
  <si>
    <t xml:space="preserve">ONB-04</t>
  </si>
  <si>
    <t xml:space="preserve">Completion state</t>
  </si>
  <si>
    <t xml:space="preserve">Onboarding ends on the correct Home empty state</t>
  </si>
  <si>
    <t xml:space="preserve">Onboarding just completed, zero data</t>
  </si>
  <si>
    <t xml:space="preserve">Complete all onboarding steps</t>
  </si>
  <si>
    <t xml:space="preserve">Home screen shows the zero-transaction empty state, not an error or blank screen</t>
  </si>
  <si>
    <t xml:space="preserve">NOT-01</t>
  </si>
  <si>
    <t xml:space="preserve">Bank capture — CIMB</t>
  </si>
  <si>
    <t xml:space="preserve">CIMB Clicks notification is captured</t>
  </si>
  <si>
    <t xml:space="preserve">Notification access granted, CIMB Clicks installed</t>
  </si>
  <si>
    <t xml:space="preserve">Trigger a real CIMB transaction notification</t>
  </si>
  <si>
    <t xml:space="preserve">Notification is captured into the raw staging buffer within a few seconds</t>
  </si>
  <si>
    <t xml:space="preserve">A2</t>
  </si>
  <si>
    <t xml:space="preserve">NOT-02</t>
  </si>
  <si>
    <t xml:space="preserve">Bank capture — Maybank</t>
  </si>
  <si>
    <t xml:space="preserve">Maybank2u notification is captured</t>
  </si>
  <si>
    <t xml:space="preserve">Notification access granted, Maybank2u installed</t>
  </si>
  <si>
    <t xml:space="preserve">Trigger a real Maybank2u transaction notification</t>
  </si>
  <si>
    <t xml:space="preserve">Notification is captured into the raw staging buffer</t>
  </si>
  <si>
    <t xml:space="preserve">NOT-03</t>
  </si>
  <si>
    <t xml:space="preserve">Bank capture — BSN</t>
  </si>
  <si>
    <t xml:space="preserve">BSN notification is captured</t>
  </si>
  <si>
    <t xml:space="preserve">Notification access granted, BSN app installed</t>
  </si>
  <si>
    <t xml:space="preserve">Trigger a real BSN transaction notification</t>
  </si>
  <si>
    <t xml:space="preserve">NOT-04</t>
  </si>
  <si>
    <t xml:space="preserve">Allowlist enforcement</t>
  </si>
  <si>
    <t xml:space="preserve">Non-allowlisted app notifications are ignored</t>
  </si>
  <si>
    <t xml:space="preserve">Any non-finance app installed (e.g. a messaging app)</t>
  </si>
  <si>
    <t xml:space="preserve">Receive a notification from a non-allowlisted app</t>
  </si>
  <si>
    <t xml:space="preserve">Notification is not captured, stored, or processed in any way</t>
  </si>
  <si>
    <t xml:space="preserve">NOT-05</t>
  </si>
  <si>
    <t xml:space="preserve">Background reliability</t>
  </si>
  <si>
    <t xml:space="preserve">Capture works while app is backgrounded or killed</t>
  </si>
  <si>
    <t xml:space="preserve">App backgrounded or force-closed</t>
  </si>
  <si>
    <t xml:space="preserve">Trigger a bank notification while the app isn't in the foreground</t>
  </si>
  <si>
    <t xml:space="preserve">Notification is still captured and later reflected in the transaction list once opened</t>
  </si>
  <si>
    <t xml:space="preserve">NOT-06</t>
  </si>
  <si>
    <t xml:space="preserve">Proactive app detection</t>
  </si>
  <si>
    <t xml:space="preserve">New finance app install triggers a suggestion</t>
  </si>
  <si>
    <t xml:space="preserve">A new bank/e-wallet app is installed on the device</t>
  </si>
  <si>
    <t xml:space="preserve">Install e.g. Boost after Sciuro is already set up</t>
  </si>
  <si>
    <t xml:space="preserve">A one-tap suggestion appears offering to track the newly installed app</t>
  </si>
  <si>
    <t xml:space="preserve">Low</t>
  </si>
  <si>
    <t xml:space="preserve">B (automation)</t>
  </si>
  <si>
    <t xml:space="preserve">PAR-01</t>
  </si>
  <si>
    <t xml:space="preserve">CIMB — DuitNow QR</t>
  </si>
  <si>
    <t xml:space="preserve">CIMB DuitNow QR payment parses correctly</t>
  </si>
  <si>
    <t xml:space="preserve">A real CIMB DuitNow QR notification exists</t>
  </si>
  <si>
    <t xml:space="preserve">Let the notification be parsed</t>
  </si>
  <si>
    <t xml:space="preserve">Amount, merchant, and channel (DuitNow QR) are all correctly extracted</t>
  </si>
  <si>
    <t xml:space="preserve">A3</t>
  </si>
  <si>
    <t xml:space="preserve">PAR-02</t>
  </si>
  <si>
    <t xml:space="preserve">Maybank — FPX</t>
  </si>
  <si>
    <t xml:space="preserve">Maybank FPX payment parses correctly</t>
  </si>
  <si>
    <t xml:space="preserve">A real Maybank FPX notification exists</t>
  </si>
  <si>
    <t xml:space="preserve">Amount, merchant, and channel (FPX) are correctly extracted</t>
  </si>
  <si>
    <t xml:space="preserve">PAR-03</t>
  </si>
  <si>
    <t xml:space="preserve">BSN — standard transaction</t>
  </si>
  <si>
    <t xml:space="preserve">BSN transaction parses correctly</t>
  </si>
  <si>
    <t xml:space="preserve">A real BSN notification exists</t>
  </si>
  <si>
    <t xml:space="preserve">Amount and direction are correctly extracted at minimum; channel where determinable</t>
  </si>
  <si>
    <t xml:space="preserve">PAR-04</t>
  </si>
  <si>
    <t xml:space="preserve">ATM withdrawal channel</t>
  </si>
  <si>
    <t xml:space="preserve">ATM withdrawal is correctly channel-tagged</t>
  </si>
  <si>
    <t xml:space="preserve">A real ATM withdrawal notification exists</t>
  </si>
  <si>
    <t xml:space="preserve">Channel is tagged ATM_WITHDRAWAL, distinct from a normal card spend</t>
  </si>
  <si>
    <t xml:space="preserve">PAR-05</t>
  </si>
  <si>
    <t xml:space="preserve">Bahasa Malaysia variant</t>
  </si>
  <si>
    <t xml:space="preserve">BM-language notification parses as accurately as English</t>
  </si>
  <si>
    <t xml:space="preserve">Device/app locale set to Bahasa Malaysia for one bank</t>
  </si>
  <si>
    <t xml:space="preserve">Trigger a transaction with the BM notification variant</t>
  </si>
  <si>
    <t xml:space="preserve">Amount, direction, and channel extract correctly, matching English-variant accuracy</t>
  </si>
  <si>
    <t xml:space="preserve">High</t>
  </si>
  <si>
    <t xml:space="preserve">PAR-06</t>
  </si>
  <si>
    <t xml:space="preserve">Graceful degradation</t>
  </si>
  <si>
    <t xml:space="preserve">Unparseable format still books with partial data</t>
  </si>
  <si>
    <t xml:space="preserve">A notification format the parser doesn't recognize (simulate if needed)</t>
  </si>
  <si>
    <t xml:space="preserve">Let an unrecognized-format notification arrive</t>
  </si>
  <si>
    <t xml:space="preserve">Transaction still books with at least the amount extracted and routes to Review Inbox rather than being dropped or crashing</t>
  </si>
  <si>
    <t xml:space="preserve">A3/A4</t>
  </si>
  <si>
    <t xml:space="preserve">PAR-07</t>
  </si>
  <si>
    <t xml:space="preserve">LLM fallback trigger</t>
  </si>
  <si>
    <t xml:space="preserve">LLM extraction engages when regex fails</t>
  </si>
  <si>
    <t xml:space="preserve">LLM-assisted parsing enabled in Settings; an unrecognized format arrives</t>
  </si>
  <si>
    <t xml:space="preserve">Let the fallback path run</t>
  </si>
  <si>
    <t xml:space="preserve">LLM extraction attempt occurs and produces a structured draft, visible in the transaction's extraction method</t>
  </si>
  <si>
    <t xml:space="preserve">A4</t>
  </si>
  <si>
    <t xml:space="preserve">PAR-08</t>
  </si>
  <si>
    <t xml:space="preserve">Available balance extraction</t>
  </si>
  <si>
    <t xml:space="preserve">Avail Bal figure is captured where present</t>
  </si>
  <si>
    <t xml:space="preserve">A notification containing an available-balance figure</t>
  </si>
  <si>
    <t xml:space="preserve">Let it be parsed</t>
  </si>
  <si>
    <t xml:space="preserve">The balance figure is correctly extracted and available to the reconciliation engine</t>
  </si>
  <si>
    <t xml:space="preserve">CAT-01</t>
  </si>
  <si>
    <t xml:space="preserve">Spend triage</t>
  </si>
  <si>
    <t xml:space="preserve">Genuine purchase is triaged as SPEND</t>
  </si>
  <si>
    <t xml:space="preserve">A normal merchant purchase notification</t>
  </si>
  <si>
    <t xml:space="preserve">Let it be triaged</t>
  </si>
  <si>
    <t xml:space="preserve">Transaction is tagged legType = SPEND, not TRANSFER or INCOME</t>
  </si>
  <si>
    <t xml:space="preserve">A6</t>
  </si>
  <si>
    <t xml:space="preserve">CAT-02</t>
  </si>
  <si>
    <t xml:space="preserve">Income triage</t>
  </si>
  <si>
    <t xml:space="preserve">Genuine income is triaged as INCOME</t>
  </si>
  <si>
    <t xml:space="preserve">A salary/allowance credit notification</t>
  </si>
  <si>
    <t xml:space="preserve">Transaction is tagged legType = INCOME</t>
  </si>
  <si>
    <t xml:space="preserve">CAT-03</t>
  </si>
  <si>
    <t xml:space="preserve">Transfer triage</t>
  </si>
  <si>
    <t xml:space="preserve">Self-transfer is triaged as TRANSFER, not spend</t>
  </si>
  <si>
    <t xml:space="preserve">A DuitNow transfer to your own second account</t>
  </si>
  <si>
    <t xml:space="preserve">Transaction is tagged legType = TRANSFER and excluded from spend categorization</t>
  </si>
  <si>
    <t xml:space="preserve">A6/B2</t>
  </si>
  <si>
    <t xml:space="preserve">CAT-04</t>
  </si>
  <si>
    <t xml:space="preserve">New merchant routing</t>
  </si>
  <si>
    <t xml:space="preserve">First-time merchant routes to Review at low confidence</t>
  </si>
  <si>
    <t xml:space="preserve">A transaction from a merchant never seen before</t>
  </si>
  <si>
    <t xml:space="preserve">Let it be categorized</t>
  </si>
  <si>
    <t xml:space="preserve">Transaction appears in Review Inbox rather than being silently auto-categorized incorrectly</t>
  </si>
  <si>
    <t xml:space="preserve">CAT-05</t>
  </si>
  <si>
    <t xml:space="preserve">Merchant memory</t>
  </si>
  <si>
    <t xml:space="preserve">Repeat merchant auto-categorizes without review</t>
  </si>
  <si>
    <t xml:space="preserve">A merchant confirmed once already in Review Inbox</t>
  </si>
  <si>
    <t xml:space="preserve">A second transaction from the same merchant arrives</t>
  </si>
  <si>
    <t xml:space="preserve">It is auto-categorized correctly without appearing in Review Inbox again</t>
  </si>
  <si>
    <t xml:space="preserve">CAT-06</t>
  </si>
  <si>
    <t xml:space="preserve">Manual recategorization</t>
  </si>
  <si>
    <t xml:space="preserve">Editing a category from Transaction Detail works</t>
  </si>
  <si>
    <t xml:space="preserve">Any confirmed transaction</t>
  </si>
  <si>
    <t xml:space="preserve">Open Transaction Detail and change its category</t>
  </si>
  <si>
    <t xml:space="preserve">Category updates immediately and an AuditLog entry records the change</t>
  </si>
  <si>
    <t xml:space="preserve">TRF-01</t>
  </si>
  <si>
    <t xml:space="preserve">Bank-to-bank matching</t>
  </si>
  <si>
    <t xml:space="preserve">Self-transfer between two banks auto-matches</t>
  </si>
  <si>
    <t xml:space="preserve">Transfer sent between two of your own linked accounts</t>
  </si>
  <si>
    <t xml:space="preserve">Let both notifications arrive</t>
  </si>
  <si>
    <t xml:space="preserve">A single TransferLink is created; neither leg appears as spend or income</t>
  </si>
  <si>
    <t xml:space="preserve">B2</t>
  </si>
  <si>
    <t xml:space="preserve">TRF-02</t>
  </si>
  <si>
    <t xml:space="preserve">ATM auto-credit</t>
  </si>
  <si>
    <t xml:space="preserve">ATM withdrawal auto-credits the Cash wallet</t>
  </si>
  <si>
    <t xml:space="preserve">An ATM withdrawal notification</t>
  </si>
  <si>
    <t xml:space="preserve">Let it be processed</t>
  </si>
  <si>
    <t xml:space="preserve">Cash wallet balance increases by the withdrawn amount with no manual confirmation needed</t>
  </si>
  <si>
    <t xml:space="preserve">TRF-03</t>
  </si>
  <si>
    <t xml:space="preserve">Cash deposit confirm</t>
  </si>
  <si>
    <t xml:space="preserve">Cash deposit prompts a one-tap confirm and debits Cash</t>
  </si>
  <si>
    <t xml:space="preserve">A cash deposit notification</t>
  </si>
  <si>
    <t xml:space="preserve">Let it be processed, then respond to the prompt</t>
  </si>
  <si>
    <t xml:space="preserve">Cash wallet balance decreases by the deposited amount once confirmed</t>
  </si>
  <si>
    <t xml:space="preserve">TRF-04</t>
  </si>
  <si>
    <t xml:space="preserve">Unmatched transfer routing</t>
  </si>
  <si>
    <t xml:space="preserve">Unrecognized DuitNow Transfer recipient routes to Review</t>
  </si>
  <si>
    <t xml:space="preserve">A transfer to a new, unrecognized recipient</t>
  </si>
  <si>
    <t xml:space="preserve">It appears in Review Inbox with a 'this is me / someone else' choice rather than being auto-classified</t>
  </si>
  <si>
    <t xml:space="preserve">TRF-05</t>
  </si>
  <si>
    <t xml:space="preserve">Recipient learning</t>
  </si>
  <si>
    <t xml:space="preserve">Confirming a recipient once teaches the rule</t>
  </si>
  <si>
    <t xml:space="preserve">A recipient confirmed as 'me' in Review Inbox previously</t>
  </si>
  <si>
    <t xml:space="preserve">A second transfer to the same recipient arrives</t>
  </si>
  <si>
    <t xml:space="preserve">It auto-matches without prompting again</t>
  </si>
  <si>
    <t xml:space="preserve">TRF-06</t>
  </si>
  <si>
    <t xml:space="preserve">Budget exclusion</t>
  </si>
  <si>
    <t xml:space="preserve">Matched transfers never appear in budget totals</t>
  </si>
  <si>
    <t xml:space="preserve">A confirmed TransferLink exists this month</t>
  </si>
  <si>
    <t xml:space="preserve">Check Category Drilldown and Budgets screens</t>
  </si>
  <si>
    <t xml:space="preserve">Neither leg of the transfer contributes to any category spend total</t>
  </si>
  <si>
    <t xml:space="preserve">B2/B7</t>
  </si>
  <si>
    <t xml:space="preserve">CSH-01</t>
  </si>
  <si>
    <t xml:space="preserve">Balance initialization</t>
  </si>
  <si>
    <t xml:space="preserve">Cash balance starts correctly at first use</t>
  </si>
  <si>
    <t xml:space="preserve">Fresh install, no cash activity yet</t>
  </si>
  <si>
    <t xml:space="preserve">Open the Wallet screen</t>
  </si>
  <si>
    <t xml:space="preserve">Balance shows zero with the correct empty state, not an error</t>
  </si>
  <si>
    <t xml:space="preserve">CSH-02</t>
  </si>
  <si>
    <t xml:space="preserve">Manual spend logging</t>
  </si>
  <si>
    <t xml:space="preserve">Logging a cash spend updates the balance</t>
  </si>
  <si>
    <t xml:space="preserve">Cash balance is nonzero</t>
  </si>
  <si>
    <t xml:space="preserve">Use the 'Log cash spend' quick action with an amount</t>
  </si>
  <si>
    <t xml:space="preserve">Cash balance decreases by that amount immediately</t>
  </si>
  <si>
    <t xml:space="preserve">CSH-03</t>
  </si>
  <si>
    <t xml:space="preserve">Recount flow</t>
  </si>
  <si>
    <t xml:space="preserve">Recount shows correct computed-vs-actual variance</t>
  </si>
  <si>
    <t xml:space="preserve">Cash balance has some value from prior activity</t>
  </si>
  <si>
    <t xml:space="preserve">Run Recount Cash and enter a different actual amount</t>
  </si>
  <si>
    <t xml:space="preserve">The variance is shown accurately and live as the amount is entered</t>
  </si>
  <si>
    <t xml:space="preserve">CSH-04</t>
  </si>
  <si>
    <t xml:space="preserve">Adjustment logging</t>
  </si>
  <si>
    <t xml:space="preserve">Recount variance logs as an Adjustment with remark, not a spend category</t>
  </si>
  <si>
    <t xml:space="preserve">A recount reveals a shortage or surplus</t>
  </si>
  <si>
    <t xml:space="preserve">Complete the recount with a remark</t>
  </si>
  <si>
    <t xml:space="preserve">A CashAdjustment entry appears in the Adjustments log; no spend category total changes</t>
  </si>
  <si>
    <t xml:space="preserve">CSH-05</t>
  </si>
  <si>
    <t xml:space="preserve">Multi-transaction accuracy</t>
  </si>
  <si>
    <t xml:space="preserve">Cash balance stays accurate across a mix of ATM/deposit/spend activity</t>
  </si>
  <si>
    <t xml:space="preserve">Several ATM withdrawals, one deposit, and a couple of logged spends have occurred</t>
  </si>
  <si>
    <t xml:space="preserve">Compare computed balance to actual wallet cash</t>
  </si>
  <si>
    <t xml:space="preserve">Balance matches within expected drift, and any gap is explainable via the Adjustments log</t>
  </si>
  <si>
    <t xml:space="preserve">EWL-01</t>
  </si>
  <si>
    <t xml:space="preserve">TNG capture</t>
  </si>
  <si>
    <t xml:space="preserve">Touch 'n Go eWallet notification is captured and parsed</t>
  </si>
  <si>
    <t xml:space="preserve">TNG eWallet installed and allowlisted</t>
  </si>
  <si>
    <t xml:space="preserve">Trigger a TNG transaction</t>
  </si>
  <si>
    <t xml:space="preserve">Transaction is captured, parsed, and appears against the TNG e-wallet account</t>
  </si>
  <si>
    <t xml:space="preserve">A2/A3</t>
  </si>
  <si>
    <t xml:space="preserve">EWL-02</t>
  </si>
  <si>
    <t xml:space="preserve">Other wallets capture</t>
  </si>
  <si>
    <t xml:space="preserve">GrabPay, Boost, and ShopeePay notifications are captured</t>
  </si>
  <si>
    <t xml:space="preserve">Each app installed and allowlisted</t>
  </si>
  <si>
    <t xml:space="preserve">Trigger a transaction on each</t>
  </si>
  <si>
    <t xml:space="preserve">Each is captured and parsed correctly, same as TNG</t>
  </si>
  <si>
    <t xml:space="preserve">EWL-03</t>
  </si>
  <si>
    <t xml:space="preserve">Reload transfer linking</t>
  </si>
  <si>
    <t xml:space="preserve">Bank-to-e-wallet reload creates a complete TransferLink</t>
  </si>
  <si>
    <t xml:space="preserve">A reload from a bank account to an e-wallet</t>
  </si>
  <si>
    <t xml:space="preserve">A TransferLink connects the bank debit and the e-wallet credit; neither shows as spend</t>
  </si>
  <si>
    <t xml:space="preserve">EWL-04</t>
  </si>
  <si>
    <t xml:space="preserve">E-wallet spend categorization</t>
  </si>
  <si>
    <t xml:space="preserve">E-wallet spend categorizes like any normal transaction</t>
  </si>
  <si>
    <t xml:space="preserve">An e-wallet purchase (e.g. GrabPay ride)</t>
  </si>
  <si>
    <t xml:space="preserve">It's categorized under the correct taxonomy category, same pipeline as bank spend</t>
  </si>
  <si>
    <t xml:space="preserve">EWL-05</t>
  </si>
  <si>
    <t xml:space="preserve">Cashback as income</t>
  </si>
  <si>
    <t xml:space="preserve">E-wallet cashback/rewards book as passive income</t>
  </si>
  <si>
    <t xml:space="preserve">A cashback credit notification from an e-wallet</t>
  </si>
  <si>
    <t xml:space="preserve">It's tagged as Income (Passive/other), not as a transfer or spend</t>
  </si>
  <si>
    <t xml:space="preserve">OBL-01</t>
  </si>
  <si>
    <t xml:space="preserve">Auto-detection</t>
  </si>
  <si>
    <t xml:space="preserve">New recurring bill is proposed after repeated occurrences</t>
  </si>
  <si>
    <t xml:space="preserve">The same merchant/amount/cadence has occurred 2-3 times (e.g. mobile plan)</t>
  </si>
  <si>
    <t xml:space="preserve">Let the pattern repeat the required number of times</t>
  </si>
  <si>
    <t xml:space="preserve">A 'looks like a new bill' proposal appears</t>
  </si>
  <si>
    <t xml:space="preserve">B1</t>
  </si>
  <si>
    <t xml:space="preserve">OBL-02</t>
  </si>
  <si>
    <t xml:space="preserve">One-tap confirm</t>
  </si>
  <si>
    <t xml:space="preserve">Confirming the proposal creates a persistent obligation</t>
  </si>
  <si>
    <t xml:space="preserve">A recurring obligation proposal is showing</t>
  </si>
  <si>
    <t xml:space="preserve">Tap confirm</t>
  </si>
  <si>
    <t xml:space="preserve">RecurringObligation is created and appears on the Kanban board</t>
  </si>
  <si>
    <t xml:space="preserve">OBL-03</t>
  </si>
  <si>
    <t xml:space="preserve">Cycle settlement</t>
  </si>
  <si>
    <t xml:space="preserve">A matching new transaction settles the obligation cycle</t>
  </si>
  <si>
    <t xml:space="preserve">An active RecurringObligation exists</t>
  </si>
  <si>
    <t xml:space="preserve">The matching bill transaction arrives next cycle</t>
  </si>
  <si>
    <t xml:space="preserve">status moves to PAID_THIS_CYCLE automatically, no manual action needed</t>
  </si>
  <si>
    <t xml:space="preserve">OBL-04</t>
  </si>
  <si>
    <t xml:space="preserve">Kanban linkage</t>
  </si>
  <si>
    <t xml:space="preserve">Settlement moves the Kanban card correctly</t>
  </si>
  <si>
    <t xml:space="preserve">An obligation just settled (OBL-03)</t>
  </si>
  <si>
    <t xml:space="preserve">Open the Kanban board</t>
  </si>
  <si>
    <t xml:space="preserve">The card has moved from Due Soon/Upcoming into Settled</t>
  </si>
  <si>
    <t xml:space="preserve">B1/C1</t>
  </si>
  <si>
    <t xml:space="preserve">OBL-05</t>
  </si>
  <si>
    <t xml:space="preserve">Amount drift handling</t>
  </si>
  <si>
    <t xml:space="preserve">A single price change is flagged, a repeated one auto-updates</t>
  </si>
  <si>
    <t xml:space="preserve">A subscription's amount changes for one cycle, then repeats at the new amount</t>
  </si>
  <si>
    <t xml:space="preserve">Observe behavior across two cycles</t>
  </si>
  <si>
    <t xml:space="preserve">First occurrence flags for review; after repeating, expectedAmount updates automatically</t>
  </si>
  <si>
    <t xml:space="preserve">OBL-06</t>
  </si>
  <si>
    <t xml:space="preserve">Manual editing</t>
  </si>
  <si>
    <t xml:space="preserve">Editing an obligation's amount or date works correctly</t>
  </si>
  <si>
    <t xml:space="preserve">An existing RecurringObligation</t>
  </si>
  <si>
    <t xml:space="preserve">Edit its expected amount or day</t>
  </si>
  <si>
    <t xml:space="preserve">Changes save and are reflected on the Kanban card and future detection</t>
  </si>
  <si>
    <t xml:space="preserve">DBT-01</t>
  </si>
  <si>
    <t xml:space="preserve">PTPTN setup</t>
  </si>
  <si>
    <t xml:space="preserve">PTPTN entry tracks balance, repayment, and due date correctly</t>
  </si>
  <si>
    <t xml:space="preserve">A PTPTN debt entry is created (manually anchored)</t>
  </si>
  <si>
    <t xml:space="preserve">View the Debt Overview</t>
  </si>
  <si>
    <t xml:space="preserve">Balance, monthly repayment, and due date all display accurately</t>
  </si>
  <si>
    <t xml:space="preserve">B5</t>
  </si>
  <si>
    <t xml:space="preserve">DBT-02</t>
  </si>
  <si>
    <t xml:space="preserve">Installment linkage</t>
  </si>
  <si>
    <t xml:space="preserve">A loan installment notification reduces the linked debt balance</t>
  </si>
  <si>
    <t xml:space="preserve">A Debt is linked to a RecurringObligation</t>
  </si>
  <si>
    <t xml:space="preserve">The installment transaction arrives</t>
  </si>
  <si>
    <t xml:space="preserve">Debt.outstandingBalance decreases by the installment amount automatically</t>
  </si>
  <si>
    <t xml:space="preserve">DBT-03</t>
  </si>
  <si>
    <t xml:space="preserve">Credit card tracking</t>
  </si>
  <si>
    <t xml:space="preserve">Credit card balance and due date track correctly</t>
  </si>
  <si>
    <t xml:space="preserve">A credit card Debt entry exists</t>
  </si>
  <si>
    <t xml:space="preserve">Make a purchase and a payment via card</t>
  </si>
  <si>
    <t xml:space="preserve">Revolving balance and statement due date update accordingly</t>
  </si>
  <si>
    <t xml:space="preserve">DBT-04</t>
  </si>
  <si>
    <t xml:space="preserve">Informal debt quick-add</t>
  </si>
  <si>
    <t xml:space="preserve">Adding an informal debt is fast and minimal</t>
  </si>
  <si>
    <t xml:space="preserve">On the Debt Ledger screen</t>
  </si>
  <si>
    <t xml:space="preserve">Add an informal debt via the 3-field form (amount, counterparty, direction)</t>
  </si>
  <si>
    <t xml:space="preserve">Entry saves correctly and appears in the debt list with no extra required fields</t>
  </si>
  <si>
    <t xml:space="preserve">DBT-05</t>
  </si>
  <si>
    <t xml:space="preserve">BNPL risk flag</t>
  </si>
  <si>
    <t xml:space="preserve">3+ active BNPL plans trigger a risk flag</t>
  </si>
  <si>
    <t xml:space="preserve">Three or more active BNPL installment plans exist</t>
  </si>
  <si>
    <t xml:space="preserve">View Debt Overview</t>
  </si>
  <si>
    <t xml:space="preserve">A visible risk indicator (StatusPill) appears, not a blocking alert</t>
  </si>
  <si>
    <t xml:space="preserve">DBT-06</t>
  </si>
  <si>
    <t xml:space="preserve">Payoff celebration</t>
  </si>
  <si>
    <t xml:space="preserve">A debt reaching zero balance triggers the celebration moment</t>
  </si>
  <si>
    <t xml:space="preserve">A debt's final installment is about to be paid</t>
  </si>
  <si>
    <t xml:space="preserve">Let the final installment post</t>
  </si>
  <si>
    <t xml:space="preserve">outstandingBalance hits zero and the debt-payoff celebration (Lottie/haptic) fires once</t>
  </si>
  <si>
    <t xml:space="preserve">B5/C</t>
  </si>
  <si>
    <t xml:space="preserve">DBT-07</t>
  </si>
  <si>
    <t xml:space="preserve">Archive on payoff</t>
  </si>
  <si>
    <t xml:space="preserve">A fully paid debt moves out of the active list</t>
  </si>
  <si>
    <t xml:space="preserve">A debt was just paid off (DBT-06)</t>
  </si>
  <si>
    <t xml:space="preserve">Return to Debt Overview</t>
  </si>
  <si>
    <t xml:space="preserve">The paid-off debt no longer appears in the active list, and is bound to any 'paid off' history view</t>
  </si>
  <si>
    <t xml:space="preserve">BAL-01</t>
  </si>
  <si>
    <t xml:space="preserve">Per-account accuracy</t>
  </si>
  <si>
    <t xml:space="preserve">Running balance matches the real bank app</t>
  </si>
  <si>
    <t xml:space="preserve">Normal transaction activity on one account over several days</t>
  </si>
  <si>
    <t xml:space="preserve">Compare Sciuro's shown balance to the actual bank app</t>
  </si>
  <si>
    <t xml:space="preserve">Balances match within a trivial margin</t>
  </si>
  <si>
    <t xml:space="preserve">B3</t>
  </si>
  <si>
    <t xml:space="preserve">BAL-02</t>
  </si>
  <si>
    <t xml:space="preserve">Drift detection</t>
  </si>
  <si>
    <t xml:space="preserve">A missed notification triggers a drift flag</t>
  </si>
  <si>
    <t xml:space="preserve">Simulate a gap (e.g. a transaction the app might have missed)</t>
  </si>
  <si>
    <t xml:space="preserve">Let a subsequent Avail Bal figure arrive</t>
  </si>
  <si>
    <t xml:space="preserve">A driftFlag is raised rather than silently showing a wrong balance</t>
  </si>
  <si>
    <t xml:space="preserve">BAL-03</t>
  </si>
  <si>
    <t xml:space="preserve">Cash reconciliation</t>
  </si>
  <si>
    <t xml:space="preserve">Cash balance reconciles correctly after a recount</t>
  </si>
  <si>
    <t xml:space="preserve">A recount was just completed</t>
  </si>
  <si>
    <t xml:space="preserve">Check the Wallet balance</t>
  </si>
  <si>
    <t xml:space="preserve">It matches the entered actual amount exactly, with the adjustment logged</t>
  </si>
  <si>
    <t xml:space="preserve">B2/B3</t>
  </si>
  <si>
    <t xml:space="preserve">BAL-04</t>
  </si>
  <si>
    <t xml:space="preserve">Transfer-driven balance update</t>
  </si>
  <si>
    <t xml:space="preserve">Balances update immediately after a matched transfer</t>
  </si>
  <si>
    <t xml:space="preserve">A transfer was just matched (TRF-01)</t>
  </si>
  <si>
    <t xml:space="preserve">Check both accounts on Home</t>
  </si>
  <si>
    <t xml:space="preserve">Both balances reflect the movement correctly and simultaneously</t>
  </si>
  <si>
    <t xml:space="preserve">INV-01</t>
  </si>
  <si>
    <t xml:space="preserve">Account creation</t>
  </si>
  <si>
    <t xml:space="preserve">Gold Investment Account is created with correct starting weight</t>
  </si>
  <si>
    <t xml:space="preserve">Setting up the Investment module for the first time</t>
  </si>
  <si>
    <t xml:space="preserve">Add the Maybank GIA account with an initial weight</t>
  </si>
  <si>
    <t xml:space="preserve">unitBalance reflects the entered starting weight in grams</t>
  </si>
  <si>
    <t xml:space="preserve">B6</t>
  </si>
  <si>
    <t xml:space="preserve">INV-02</t>
  </si>
  <si>
    <t xml:space="preserve">Buy/sell entry</t>
  </si>
  <si>
    <t xml:space="preserve">Manual buy/sell correctly adjusts the weight ledger</t>
  </si>
  <si>
    <t xml:space="preserve">An existing InvestmentAccount</t>
  </si>
  <si>
    <t xml:space="preserve">Log a buy of X grams, then a sell of Y grams</t>
  </si>
  <si>
    <t xml:space="preserve">unitBalance updates correctly after each entry (never the MYR value directly)</t>
  </si>
  <si>
    <t xml:space="preserve">INV-03</t>
  </si>
  <si>
    <t xml:space="preserve">Valuation calculation</t>
  </si>
  <si>
    <t xml:space="preserve">Displayed value equals weight × current price</t>
  </si>
  <si>
    <t xml:space="preserve">A known unitBalance and a known fetched gold price</t>
  </si>
  <si>
    <t xml:space="preserve">Open the Investment screen</t>
  </si>
  <si>
    <t xml:space="preserve">Displayed MYR value matches the manual calculation</t>
  </si>
  <si>
    <t xml:space="preserve">INV-04</t>
  </si>
  <si>
    <t xml:space="preserve">Price refresh behavior</t>
  </si>
  <si>
    <t xml:space="preserve">Value updates smoothly when the price refreshes</t>
  </si>
  <si>
    <t xml:space="preserve">The Investment screen is open</t>
  </si>
  <si>
    <t xml:space="preserve">Trigger a price refresh (reopen app or manual refresh)</t>
  </si>
  <si>
    <t xml:space="preserve">The value count-animates to the new figure rather than jump-cutting</t>
  </si>
  <si>
    <t xml:space="preserve">B6/C</t>
  </si>
  <si>
    <t xml:space="preserve">INV-05</t>
  </si>
  <si>
    <t xml:space="preserve">Valuation disclaimer</t>
  </si>
  <si>
    <t xml:space="preserve">The bank-spread caveat is visible</t>
  </si>
  <si>
    <t xml:space="preserve">Any time the Investment screen is viewed</t>
  </si>
  <si>
    <t xml:space="preserve">A disclaimer noting the estimate may differ from Maybank's actual GIA rate is visible</t>
  </si>
  <si>
    <t xml:space="preserve">BUD-01</t>
  </si>
  <si>
    <t xml:space="preserve">Manual limit setting</t>
  </si>
  <si>
    <t xml:space="preserve">Setting a category budget limit works correctly</t>
  </si>
  <si>
    <t xml:space="preserve">On the Budgets screen</t>
  </si>
  <si>
    <t xml:space="preserve">Set a monthly limit for a category</t>
  </si>
  <si>
    <t xml:space="preserve">Limit saves and progress tracks against it going forward</t>
  </si>
  <si>
    <t xml:space="preserve">B7</t>
  </si>
  <si>
    <t xml:space="preserve">BUD-02</t>
  </si>
  <si>
    <t xml:space="preserve">Auto-suggested limits</t>
  </si>
  <si>
    <t xml:space="preserve">A suggested limit appears once enough history exists</t>
  </si>
  <si>
    <t xml:space="preserve">2-3 months of category spend history exist</t>
  </si>
  <si>
    <t xml:space="preserve">Open Budgets for an unset category</t>
  </si>
  <si>
    <t xml:space="preserve">A suggested limit based on historical average appears, one-tap to accept</t>
  </si>
  <si>
    <t xml:space="preserve">BUD-03</t>
  </si>
  <si>
    <t xml:space="preserve">80% threshold</t>
  </si>
  <si>
    <t xml:space="preserve">Crossing 80% of a budget triggers the correct state</t>
  </si>
  <si>
    <t xml:space="preserve">A category is at or near 80% of its limit</t>
  </si>
  <si>
    <t xml:space="preserve">Cross the threshold with a new transaction</t>
  </si>
  <si>
    <t xml:space="preserve">The StatusPill/color state updates on both Budgets and Category Drilldown</t>
  </si>
  <si>
    <t xml:space="preserve">BUD-04</t>
  </si>
  <si>
    <t xml:space="preserve">100% threshold</t>
  </si>
  <si>
    <t xml:space="preserve">Crossing 100% of a budget triggers the correct state</t>
  </si>
  <si>
    <t xml:space="preserve">A category is at or over its limit</t>
  </si>
  <si>
    <t xml:space="preserve">Cross the threshold</t>
  </si>
  <si>
    <t xml:space="preserve">The state escalates correctly (and an opt-in notification fires if enabled)</t>
  </si>
  <si>
    <t xml:space="preserve">BUD-05</t>
  </si>
  <si>
    <t xml:space="preserve">Transfer exclusion spot-check</t>
  </si>
  <si>
    <t xml:space="preserve">Budget totals never include transfer-tagged transactions</t>
  </si>
  <si>
    <t xml:space="preserve">A month with at least one self-transfer and normal spend</t>
  </si>
  <si>
    <t xml:space="preserve">Review a category total against a manual sum of only true spend</t>
  </si>
  <si>
    <t xml:space="preserve">The two match; the transfer amount is not included anywhere</t>
  </si>
  <si>
    <t xml:space="preserve">AUD-01</t>
  </si>
  <si>
    <t xml:space="preserve">Creation logging</t>
  </si>
  <si>
    <t xml:space="preserve">Every new transaction produces an AuditLog entry</t>
  </si>
  <si>
    <t xml:space="preserve">Any new transaction is confirmed</t>
  </si>
  <si>
    <t xml:space="preserve">Check its audit history</t>
  </si>
  <si>
    <t xml:space="preserve">A CREATE entry exists with the correct source (SYSTEM_AUTO/LLM_INFERRED/USER_MANUAL)</t>
  </si>
  <si>
    <t xml:space="preserve">A1</t>
  </si>
  <si>
    <t xml:space="preserve">AUD-02</t>
  </si>
  <si>
    <t xml:space="preserve">Change logging</t>
  </si>
  <si>
    <t xml:space="preserve">Recategorizing a transaction logs a correct before/after entry</t>
  </si>
  <si>
    <t xml:space="preserve">A transaction is recategorized (CAT-06)</t>
  </si>
  <si>
    <t xml:space="preserve">An UPDATE entry shows the old and new category with a timestamp</t>
  </si>
  <si>
    <t xml:space="preserve">AUD-03</t>
  </si>
  <si>
    <t xml:space="preserve">Trail visibility</t>
  </si>
  <si>
    <t xml:space="preserve">Audit history is viewable from Transaction Detail</t>
  </si>
  <si>
    <t xml:space="preserve">Any transaction with at least one change</t>
  </si>
  <si>
    <t xml:space="preserve">Open Transaction Detail and view history</t>
  </si>
  <si>
    <t xml:space="preserve">Full change history displays in plain language, not raw JSON</t>
  </si>
  <si>
    <t xml:space="preserve">A1/C</t>
  </si>
  <si>
    <t xml:space="preserve">AUD-04</t>
  </si>
  <si>
    <t xml:space="preserve">Immutability</t>
  </si>
  <si>
    <t xml:space="preserve">Audit entries cannot be edited or deleted after the fact</t>
  </si>
  <si>
    <t xml:space="preserve">Any existing AuditLog entries</t>
  </si>
  <si>
    <t xml:space="preserve">Attempt to alter history through normal app use</t>
  </si>
  <si>
    <t xml:space="preserve">There is no path in the UI to edit or delete a past audit entry</t>
  </si>
  <si>
    <t xml:space="preserve">AUD-05</t>
  </si>
  <si>
    <t xml:space="preserve">Source &amp; confidence tagging</t>
  </si>
  <si>
    <t xml:space="preserve">LLM-inferred actions are tagged with confidence</t>
  </si>
  <si>
    <t xml:space="preserve">A transaction was categorized via LLM fallback</t>
  </si>
  <si>
    <t xml:space="preserve">Check its audit entry</t>
  </si>
  <si>
    <t xml:space="preserve">source = LLM_INFERRED with a populated confidence value</t>
  </si>
  <si>
    <t xml:space="preserve">A1/A4</t>
  </si>
  <si>
    <t xml:space="preserve">CAS-01</t>
  </si>
  <si>
    <t xml:space="preserve">Bill payment cascade</t>
  </si>
  <si>
    <t xml:space="preserve">One bill payment updates Kanban, Budget, Runway, and Audit together</t>
  </si>
  <si>
    <t xml:space="preserve">An active RecurringObligation with a matching transaction arriving</t>
  </si>
  <si>
    <t xml:space="preserve">Let the matching transaction post</t>
  </si>
  <si>
    <t xml:space="preserve">Kanban card settles, category budget increments, Home runway recalculates excluding it, and an audit entry is written — all without a second tap</t>
  </si>
  <si>
    <t xml:space="preserve">B1/B7/C2</t>
  </si>
  <si>
    <t xml:space="preserve">CAS-02</t>
  </si>
  <si>
    <t xml:space="preserve">Loan payment dual cascade</t>
  </si>
  <si>
    <t xml:space="preserve">A loan installment updates both Debt and Kanban simultaneously</t>
  </si>
  <si>
    <t xml:space="preserve">A Debt linked to a RecurringObligation, installment due</t>
  </si>
  <si>
    <t xml:space="preserve">Let the installment transaction post</t>
  </si>
  <si>
    <t xml:space="preserve">Debt balance decreases and the Kanban card settles from the same single event</t>
  </si>
  <si>
    <t xml:space="preserve">B1/B5</t>
  </si>
  <si>
    <t xml:space="preserve">CAS-03</t>
  </si>
  <si>
    <t xml:space="preserve">ATM cascade</t>
  </si>
  <si>
    <t xml:space="preserve">ATM withdrawal cascades to Cash credit with zero manual steps</t>
  </si>
  <si>
    <t xml:space="preserve">A card is used for an ATM withdrawal</t>
  </si>
  <si>
    <t xml:space="preserve">Let the notification process</t>
  </si>
  <si>
    <t xml:space="preserve">Cash wallet balance increases automatically; no confirmation prompt appears</t>
  </si>
  <si>
    <t xml:space="preserve">CAS-04</t>
  </si>
  <si>
    <t xml:space="preserve">Cash shortage isolation</t>
  </si>
  <si>
    <t xml:space="preserve">A recount shortage corrects Cash balance without touching spend categories</t>
  </si>
  <si>
    <t xml:space="preserve">A recount reveals a shortage</t>
  </si>
  <si>
    <t xml:space="preserve">Cash balance corrects; no category budget or spend total changes as a result</t>
  </si>
  <si>
    <t xml:space="preserve">CAS-05</t>
  </si>
  <si>
    <t xml:space="preserve">Forward runway projection</t>
  </si>
  <si>
    <t xml:space="preserve">Confirming a new obligation immediately affects future runway math</t>
  </si>
  <si>
    <t xml:space="preserve">A new recurring obligation is confirmed (OBL-02)</t>
  </si>
  <si>
    <t xml:space="preserve">Check Home's runway calculation for a date before the obligation's next due date</t>
  </si>
  <si>
    <t xml:space="preserve">The obligation is now included in the forward projection without any extra setup</t>
  </si>
  <si>
    <t xml:space="preserve">B1/C2</t>
  </si>
  <si>
    <t xml:space="preserve">CAS-06</t>
  </si>
  <si>
    <t xml:space="preserve">Income timing inference</t>
  </si>
  <si>
    <t xml:space="preserve">Recognized income pattern populates the runway's next-income date</t>
  </si>
  <si>
    <t xml:space="preserve">A recurring income pattern (e.g. monthly stipend) has occurred 2-3 times</t>
  </si>
  <si>
    <t xml:space="preserve">Check what date the runway calculation uses as 'next income'</t>
  </si>
  <si>
    <t xml:space="preserve">The date reflects the detected pattern automatically, with no manual setup required</t>
  </si>
  <si>
    <t xml:space="preserve">B3/C2</t>
  </si>
  <si>
    <t xml:space="preserve">NET-01</t>
  </si>
  <si>
    <t xml:space="preserve">Aggregation accuracy</t>
  </si>
  <si>
    <t xml:space="preserve">Net Position correctly sums all account types minus debt</t>
  </si>
  <si>
    <t xml:space="preserve">Bank, cash, e-wallet, investment, and debt data all present</t>
  </si>
  <si>
    <t xml:space="preserve">Compare the displayed Net Position to a manual sum</t>
  </si>
  <si>
    <t xml:space="preserve">Figures match exactly</t>
  </si>
  <si>
    <t xml:space="preserve">NET-02</t>
  </si>
  <si>
    <t xml:space="preserve">Live recalculation</t>
  </si>
  <si>
    <t xml:space="preserve">Net Position updates immediately when any input changes</t>
  </si>
  <si>
    <t xml:space="preserve">Net Position is currently displayed</t>
  </si>
  <si>
    <t xml:space="preserve">Make any change (new transaction, price refresh, debt payment)</t>
  </si>
  <si>
    <t xml:space="preserve">The figure updates without needing to leave and reopen the screen</t>
  </si>
  <si>
    <t xml:space="preserve">NET-03</t>
  </si>
  <si>
    <t xml:space="preserve">Cross-check</t>
  </si>
  <si>
    <t xml:space="preserve">Manually re-derived total matches what's shown, at any point in time</t>
  </si>
  <si>
    <t xml:space="preserve">Any point with mixed account activity</t>
  </si>
  <si>
    <t xml:space="preserve">Independently total every account/debt and compare</t>
  </si>
  <si>
    <t xml:space="preserve">Sciuro's figure and the manual total agree</t>
  </si>
  <si>
    <t xml:space="preserve">REV-01</t>
  </si>
  <si>
    <t xml:space="preserve">Low-confidence surfacing</t>
  </si>
  <si>
    <t xml:space="preserve">Uncertain transactions appear in the Review Inbox</t>
  </si>
  <si>
    <t xml:space="preserve">A transaction with low classification confidence exists</t>
  </si>
  <si>
    <t xml:space="preserve">Open Review Inbox</t>
  </si>
  <si>
    <t xml:space="preserve">The item is present with a suggested category shown</t>
  </si>
  <si>
    <t xml:space="preserve">B4</t>
  </si>
  <si>
    <t xml:space="preserve">REV-02</t>
  </si>
  <si>
    <t xml:space="preserve">Swipe confirm</t>
  </si>
  <si>
    <t xml:space="preserve">Swiping resolves an item correctly</t>
  </si>
  <si>
    <t xml:space="preserve">An item is pending in Review Inbox</t>
  </si>
  <si>
    <t xml:space="preserve">Swipe to confirm the suggested (or a different) category</t>
  </si>
  <si>
    <t xml:space="preserve">Item is categorized, removed from the inbox, and the merchant rule is learned</t>
  </si>
  <si>
    <t xml:space="preserve">REV-03</t>
  </si>
  <si>
    <t xml:space="preserve">Bulk re-categorize</t>
  </si>
  <si>
    <t xml:space="preserve">Bulk re-categorizing by merchant works across items</t>
  </si>
  <si>
    <t xml:space="preserve">Multiple pending items from the same merchant</t>
  </si>
  <si>
    <t xml:space="preserve">Use bulk re-categorize for that merchant</t>
  </si>
  <si>
    <t xml:space="preserve">All matching pending items resolve at once</t>
  </si>
  <si>
    <t xml:space="preserve">REV-04</t>
  </si>
  <si>
    <t xml:space="preserve">Empty state</t>
  </si>
  <si>
    <t xml:space="preserve">Inbox shows the correct empty state when clear</t>
  </si>
  <si>
    <t xml:space="preserve">No items pending</t>
  </si>
  <si>
    <t xml:space="preserve">A calm 'all caught up' empty state is shown, not a blank screen</t>
  </si>
  <si>
    <t xml:space="preserve">REV-05</t>
  </si>
  <si>
    <t xml:space="preserve">Duplicate handling</t>
  </si>
  <si>
    <t xml:space="preserve">A likely duplicate transaction is flagged, not silently merged or doubled</t>
  </si>
  <si>
    <t xml:space="preserve">Two very similar notifications arrive close together (simulating a pending-then-posted update)</t>
  </si>
  <si>
    <t xml:space="preserve">Let both be processed</t>
  </si>
  <si>
    <t xml:space="preserve">The duplicate is flagged for a decision rather than either double-counted or silently dropped</t>
  </si>
  <si>
    <t xml:space="preserve">KAN-01</t>
  </si>
  <si>
    <t xml:space="preserve">Column structure</t>
  </si>
  <si>
    <t xml:space="preserve">Bills &amp; Debt board shows the correct three columns</t>
  </si>
  <si>
    <t xml:space="preserve">Any obligations/debts exist</t>
  </si>
  <si>
    <t xml:space="preserve">Upcoming, Due Soon, and Settled columns are all present and correctly populated</t>
  </si>
  <si>
    <t xml:space="preserve">C1</t>
  </si>
  <si>
    <t xml:space="preserve">KAN-02</t>
  </si>
  <si>
    <t xml:space="preserve">Auto-move on settlement</t>
  </si>
  <si>
    <t xml:space="preserve">Bank-linked cards move automatically, no drag needed</t>
  </si>
  <si>
    <t xml:space="preserve">An obligation just settled (OBL-04)</t>
  </si>
  <si>
    <t xml:space="preserve">View the board</t>
  </si>
  <si>
    <t xml:space="preserve">The card is in Settled without any manual drag</t>
  </si>
  <si>
    <t xml:space="preserve">KAN-03</t>
  </si>
  <si>
    <t xml:space="preserve">Manual move for informal debt</t>
  </si>
  <si>
    <t xml:space="preserve">Informal debt cards require a manual settle action</t>
  </si>
  <si>
    <t xml:space="preserve">An informal debt exists, marked as repaid in real life</t>
  </si>
  <si>
    <t xml:space="preserve">Mark it settled manually</t>
  </si>
  <si>
    <t xml:space="preserve">Card moves to Settled only after the manual tap, never automatically</t>
  </si>
  <si>
    <t xml:space="preserve">KAN-04</t>
  </si>
  <si>
    <t xml:space="preserve">Overdue surfacing</t>
  </si>
  <si>
    <t xml:space="preserve">Overdue items are visually prioritized</t>
  </si>
  <si>
    <t xml:space="preserve">An obligation has passed its due date unpaid</t>
  </si>
  <si>
    <t xml:space="preserve">It surfaces at the top of Due Soon with a distinct visual treatment</t>
  </si>
  <si>
    <t xml:space="preserve">KAN-05</t>
  </si>
  <si>
    <t xml:space="preserve">Board shows the correct state before any obligations exist</t>
  </si>
  <si>
    <t xml:space="preserve">Fresh install, no detected obligations yet</t>
  </si>
  <si>
    <t xml:space="preserve">A passive empty state explains detection is still gathering data, with no premature 'add' prompt</t>
  </si>
  <si>
    <t xml:space="preserve">HOM-01</t>
  </si>
  <si>
    <t xml:space="preserve">Runway calculation</t>
  </si>
  <si>
    <t xml:space="preserve">Safe-to-spend figure calculates correctly against known data</t>
  </si>
  <si>
    <t xml:space="preserve">A known balance and known set of upcoming obligations</t>
  </si>
  <si>
    <t xml:space="preserve">Check the runway number against a manual calculation</t>
  </si>
  <si>
    <t xml:space="preserve">Figures match</t>
  </si>
  <si>
    <t xml:space="preserve">C2</t>
  </si>
  <si>
    <t xml:space="preserve">HOM-02</t>
  </si>
  <si>
    <t xml:space="preserve">Temperature indicator</t>
  </si>
  <si>
    <t xml:space="preserve">Runway color reflects financial health accurately</t>
  </si>
  <si>
    <t xml:space="preserve">Test at healthy, marginal, and low runway states</t>
  </si>
  <si>
    <t xml:space="preserve">Observe the color at each state</t>
  </si>
  <si>
    <t xml:space="preserve">Color moves calm to warning to danger appropriately and legibly</t>
  </si>
  <si>
    <t xml:space="preserve">HOM-03</t>
  </si>
  <si>
    <t xml:space="preserve">Upcoming bills strip</t>
  </si>
  <si>
    <t xml:space="preserve">Next 3 bills due are shown correctly</t>
  </si>
  <si>
    <t xml:space="preserve">Multiple obligations with different due dates exist</t>
  </si>
  <si>
    <t xml:space="preserve">View the Home screen</t>
  </si>
  <si>
    <t xml:space="preserve">The three soonest-due items are listed in correct order</t>
  </si>
  <si>
    <t xml:space="preserve">HOM-04</t>
  </si>
  <si>
    <t xml:space="preserve">Runway drilldown</t>
  </si>
  <si>
    <t xml:space="preserve">Tapping the runway number opens an accurate breakdown</t>
  </si>
  <si>
    <t xml:space="preserve">Runway figure is displayed</t>
  </si>
  <si>
    <t xml:space="preserve">Tap the number</t>
  </si>
  <si>
    <t xml:space="preserve">It expands to show exactly which obligations were subtracted</t>
  </si>
  <si>
    <t xml:space="preserve">HOM-05</t>
  </si>
  <si>
    <t xml:space="preserve">Bill-to-Kanban handoff</t>
  </si>
  <si>
    <t xml:space="preserve">Tapping a bill in the strip navigates correctly</t>
  </si>
  <si>
    <t xml:space="preserve">A bill is visible in the upcoming strip</t>
  </si>
  <si>
    <t xml:space="preserve">Tap it</t>
  </si>
  <si>
    <t xml:space="preserve">Kanban opens pre-scrolled and highlighting that specific card</t>
  </si>
  <si>
    <t xml:space="preserve">NAV-01</t>
  </si>
  <si>
    <t xml:space="preserve">Nav structure</t>
  </si>
  <si>
    <t xml:space="preserve">Bottom nav shows exactly 4 destinations plus a centered FAB</t>
  </si>
  <si>
    <t xml:space="preserve">App is in normal use</t>
  </si>
  <si>
    <t xml:space="preserve">Observe the bottom nav bar</t>
  </si>
  <si>
    <t xml:space="preserve">Home, Kanban, Wallet, and More are present, with one centered elevated FAB, matching no more/fewer</t>
  </si>
  <si>
    <t xml:space="preserve">C1-C3</t>
  </si>
  <si>
    <t xml:space="preserve">NAV-02</t>
  </si>
  <si>
    <t xml:space="preserve">FAB quick-add</t>
  </si>
  <si>
    <t xml:space="preserve">All quick-add actions function from the FAB</t>
  </si>
  <si>
    <t xml:space="preserve">FAB is tapped</t>
  </si>
  <si>
    <t xml:space="preserve">Select each quick-add option in turn (log cash, add informal debt, manual transaction)</t>
  </si>
  <si>
    <t xml:space="preserve">Each opens the correct minimal-input flow and saves correctly</t>
  </si>
  <si>
    <t xml:space="preserve">NAV-03</t>
  </si>
  <si>
    <t xml:space="preserve">Review Inbox is not a tab</t>
  </si>
  <si>
    <t xml:space="preserve">Review Inbox never occupies a permanent nav slot</t>
  </si>
  <si>
    <t xml:space="preserve">Review Inbox has pending items</t>
  </si>
  <si>
    <t xml:space="preserve">Check the nav bar and the entry point used instead</t>
  </si>
  <si>
    <t xml:space="preserve">It's absent from the tab bar; a banner/badge surfaces it only while non-empty</t>
  </si>
  <si>
    <t xml:space="preserve">B4/C1</t>
  </si>
  <si>
    <t xml:space="preserve">NAV-04</t>
  </si>
  <si>
    <t xml:space="preserve">No dead ends</t>
  </si>
  <si>
    <t xml:space="preserve">Every core screen is reachable and returns cleanly</t>
  </si>
  <si>
    <t xml:space="preserve">Normal app use</t>
  </si>
  <si>
    <t xml:space="preserve">Navigate through every screen and back</t>
  </si>
  <si>
    <t xml:space="preserve">No crashes, no dead-end screens, back navigation always works</t>
  </si>
  <si>
    <t xml:space="preserve">SEC-01</t>
  </si>
  <si>
    <t xml:space="preserve">Encryption at rest</t>
  </si>
  <si>
    <t xml:space="preserve">Local database is encrypted, not plaintext</t>
  </si>
  <si>
    <t xml:space="preserve">App has real data stored</t>
  </si>
  <si>
    <t xml:space="preserve">Attempt to inspect the raw database file directly</t>
  </si>
  <si>
    <t xml:space="preserve">Contents are not human-readable without the encryption key</t>
  </si>
  <si>
    <t xml:space="preserve">D1</t>
  </si>
  <si>
    <t xml:space="preserve">SEC-02</t>
  </si>
  <si>
    <t xml:space="preserve">App gate</t>
  </si>
  <si>
    <t xml:space="preserve">Biometric/PIN gate blocks unauthorized access</t>
  </si>
  <si>
    <t xml:space="preserve">App lock is enabled</t>
  </si>
  <si>
    <t xml:space="preserve">Attempt to open the app without authenticating</t>
  </si>
  <si>
    <t xml:space="preserve">Access is blocked until authentication succeeds</t>
  </si>
  <si>
    <t xml:space="preserve">SEC-03</t>
  </si>
  <si>
    <t xml:space="preserve">Encrypted export</t>
  </si>
  <si>
    <t xml:space="preserve">Manual backup export produces a usable, protected file</t>
  </si>
  <si>
    <t xml:space="preserve">Some data exists to export</t>
  </si>
  <si>
    <t xml:space="preserve">Trigger the export/backup flow</t>
  </si>
  <si>
    <t xml:space="preserve">A file is produced, and it's encrypted (not a plain readable export)</t>
  </si>
  <si>
    <t xml:space="preserve">SEC-04</t>
  </si>
  <si>
    <t xml:space="preserve">No PII leakage</t>
  </si>
  <si>
    <t xml:space="preserve">No personal/financial data appears in logs if analytics are enabled</t>
  </si>
  <si>
    <t xml:space="preserve">Any analytics/crash reporting is active</t>
  </si>
  <si>
    <t xml:space="preserve">Trigger a typical session and inspect any logs sent externally</t>
  </si>
  <si>
    <t xml:space="preserve">No transaction text, amounts, or account identifiers appear</t>
  </si>
  <si>
    <t xml:space="preserve">SEC-05</t>
  </si>
  <si>
    <t xml:space="preserve">Raw text purge</t>
  </si>
  <si>
    <t xml:space="preserve">Raw notification text purge option works as configured</t>
  </si>
  <si>
    <t xml:space="preserve">Purge-after-N-days is enabled in Settings</t>
  </si>
  <si>
    <t xml:space="preserve">Wait past the configured window (or simulate it)</t>
  </si>
  <si>
    <t xml:space="preserve">Raw notification text is removed while structured transaction data remains intact</t>
  </si>
  <si>
    <t xml:space="preserve">UIX-01</t>
  </si>
  <si>
    <t xml:space="preserve">Empty states coverage</t>
  </si>
  <si>
    <t xml:space="preserve">Every major screen has an appropriate first-use empty state</t>
  </si>
  <si>
    <t xml:space="preserve">Fresh install or a screen with no data yet</t>
  </si>
  <si>
    <t xml:space="preserve">Visit Home, Wallet, Investment, Kanban, Budgets, Debt Overview, Review Inbox in turn</t>
  </si>
  <si>
    <t xml:space="preserve">Each shows a tailored, non-generic empty state rather than a blank or broken layout</t>
  </si>
  <si>
    <t xml:space="preserve">B/C (per-module)</t>
  </si>
  <si>
    <t xml:space="preserve">UIX-02</t>
  </si>
  <si>
    <t xml:space="preserve">Skeleton loading</t>
  </si>
  <si>
    <t xml:space="preserve">Cold loads show skeleton placeholders, not blank spinners</t>
  </si>
  <si>
    <t xml:space="preserve">Cold app start with data to load</t>
  </si>
  <si>
    <t xml:space="preserve">Open the app fresh</t>
  </si>
  <si>
    <t xml:space="preserve">Shimmer/skeleton shapes matching the eventual layout appear briefly before real content</t>
  </si>
  <si>
    <t xml:space="preserve">UIX-03</t>
  </si>
  <si>
    <t xml:space="preserve">Optimistic UI</t>
  </si>
  <si>
    <t xml:space="preserve">One-tap confirms update instantly, not after a wait</t>
  </si>
  <si>
    <t xml:space="preserve">Any one-tap confirm action (Review Inbox, mark bill settled)</t>
  </si>
  <si>
    <t xml:space="preserve">Perform the action</t>
  </si>
  <si>
    <t xml:space="preserve">UI updates immediately; the background save happens invisibly after</t>
  </si>
  <si>
    <t xml:space="preserve">B4/C1-C3</t>
  </si>
  <si>
    <t xml:space="preserve">UIX-04</t>
  </si>
  <si>
    <t xml:space="preserve">Sync freshness indicator</t>
  </si>
  <si>
    <t xml:space="preserve">Background sync status is visible without being intrusive</t>
  </si>
  <si>
    <t xml:space="preserve">Normal background notification processing is occurring</t>
  </si>
  <si>
    <t xml:space="preserve">Check the Home header area</t>
  </si>
  <si>
    <t xml:space="preserve">A subtle 'synced Xm ago' indicator is present and accurate, not a blocking spinner</t>
  </si>
  <si>
    <t xml:space="preserve">UIX-05</t>
  </si>
  <si>
    <t xml:space="preserve">Reduced motion respect</t>
  </si>
  <si>
    <t xml:space="preserve">System reduced-motion setting disables Lottie/confetti correctly</t>
  </si>
  <si>
    <t xml:space="preserve">OS-level reduced motion is enabled</t>
  </si>
  <si>
    <t xml:space="preserve">Trigger a celebration moment (e.g. debt payoff)</t>
  </si>
  <si>
    <t xml:space="preserve">A static fallback appears instead of the full animation, no crash or broken layout</t>
  </si>
  <si>
    <t xml:space="preserve">C/D1</t>
  </si>
  <si>
    <t xml:space="preserve">SET-01</t>
  </si>
  <si>
    <t xml:space="preserve">Allowlist management</t>
  </si>
  <si>
    <t xml:space="preserve">Adding/removing tracked apps works correctly</t>
  </si>
  <si>
    <t xml:space="preserve">Settings &gt; notification sources</t>
  </si>
  <si>
    <t xml:space="preserve">Add or remove an app from the allowlist</t>
  </si>
  <si>
    <t xml:space="preserve">Future notifications from that app are captured or ignored accordingly</t>
  </si>
  <si>
    <t xml:space="preserve">A2/D1</t>
  </si>
  <si>
    <t xml:space="preserve">SET-02</t>
  </si>
  <si>
    <t xml:space="preserve">LLM opt-in toggle</t>
  </si>
  <si>
    <t xml:space="preserve">Enabling/disabling LLM-assisted parsing works as expected</t>
  </si>
  <si>
    <t xml:space="preserve">Settings &gt; AI parsing</t>
  </si>
  <si>
    <t xml:space="preserve">Toggle it off, then trigger a parse-fallback scenario</t>
  </si>
  <si>
    <t xml:space="preserve">No external call is made while off; fallback resumes correctly once re-enabled</t>
  </si>
  <si>
    <t xml:space="preserve">A4/D1</t>
  </si>
  <si>
    <t xml:space="preserve">SET-03</t>
  </si>
  <si>
    <t xml:space="preserve">Appearance setting</t>
  </si>
  <si>
    <t xml:space="preserve">Light/Dark/System selection applies across the whole app</t>
  </si>
  <si>
    <t xml:space="preserve">Settings &gt; Appearance</t>
  </si>
  <si>
    <t xml:space="preserve">Switch between all three options</t>
  </si>
  <si>
    <t xml:space="preserve">Every screen updates consistently, no screens left in the wrong theme</t>
  </si>
  <si>
    <t xml:space="preserve">SET-04</t>
  </si>
  <si>
    <t xml:space="preserve">Backup trigger</t>
  </si>
  <si>
    <t xml:space="preserve">Manual export/backup completes and includes expected data</t>
  </si>
  <si>
    <t xml:space="preserve">Settings &gt; Backup</t>
  </si>
  <si>
    <t xml:space="preserve">Trigger an export</t>
  </si>
  <si>
    <t xml:space="preserve">A complete, correct file is produced covering all modules (not just transactions)</t>
  </si>
  <si>
    <t xml:space="preserve">DSK-01</t>
  </si>
  <si>
    <t xml:space="preserve">Read-only sync view</t>
  </si>
  <si>
    <t xml:space="preserve">Windows desktop viewer displays synced data correctly</t>
  </si>
  <si>
    <t xml:space="preserve">Desktop companion is set up and synced</t>
  </si>
  <si>
    <t xml:space="preserve">Open the desktop app</t>
  </si>
  <si>
    <t xml:space="preserve">Balances, obligations, and recent activity match the phone, view-only</t>
  </si>
  <si>
    <t xml:space="preserve">Deferred/Future</t>
  </si>
  <si>
    <t xml:space="preserve">DSK-02</t>
  </si>
  <si>
    <t xml:space="preserve">Lottie fallback on desktop</t>
  </si>
  <si>
    <t xml:space="preserve">Desktop correctly falls back where Lottie doesn't render</t>
  </si>
  <si>
    <t xml:space="preserve">A moment that uses Lottie on Android (e.g. empty state)</t>
  </si>
  <si>
    <t xml:space="preserve">View the equivalent screen on desktop</t>
  </si>
  <si>
    <t xml:space="preserve">A static image appears in place of the animation, no error or blank space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</si>
</sst>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C1D21"/>
        <bgColor rgb="FF333300"/>
      </patternFill>
    </fill>
    <fill>
      <patternFill patternType="solid">
        <fgColor rgb="FFEFEFEF"/>
        <bgColor rgb="FFF3F3F3"/>
      </patternFill>
    </fill>
    <fill>
      <patternFill patternType="solid">
        <fgColor rgb="FFFFF2CC"/>
        <bgColor rgb="FFFCE5CD"/>
      </patternFill>
    </fill>
    <fill>
      <patternFill patternType="solid">
        <fgColor rgb="FFF4CCCC"/>
        <bgColor rgb="FFD9D9D9"/>
      </patternFill>
    </fill>
    <fill>
      <patternFill patternType="solid">
        <fgColor rgb="FFD9EAD3"/>
        <bgColor rgb="FFD9D9D9"/>
      </patternFill>
    </fill>
    <fill>
      <patternFill patternType="solid">
        <fgColor rgb="FFFCE5C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C1D2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3F3F3"/>
        </patternFill>
      </fill>
    </dxf>
    <dxf>
      <fill>
        <patternFill>
          <bgColor rgb="FFEFEFE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D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23.8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23.8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23.8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3" t="s">
        <v>9</v>
      </c>
    </row>
    <row r="13" customFormat="false" ht="23.85" hidden="false" customHeight="false" outlineLevel="0" collapsed="false">
      <c r="A13" s="3" t="s">
        <v>10</v>
      </c>
    </row>
    <row r="14" customFormat="false" ht="23.8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4" t="s">
        <v>12</v>
      </c>
    </row>
    <row r="17" customFormat="false" ht="23.85" hidden="false" customHeight="false" outlineLevel="0" collapsed="false">
      <c r="A17" s="3" t="s">
        <v>13</v>
      </c>
    </row>
    <row r="18" customFormat="false" ht="23.85" hidden="false" customHeight="false" outlineLevel="0" collapsed="false">
      <c r="A18" s="3" t="s">
        <v>14</v>
      </c>
    </row>
    <row r="19" customFormat="false" ht="23.85" hidden="false" customHeight="false" outlineLevel="0" collapsed="false">
      <c r="A19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0"/>
  </cols>
  <sheetData>
    <row r="1" customFormat="false" ht="19.7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4" customFormat="false" ht="15" hidden="false" customHeight="false" outlineLevel="0" collapsed="false">
      <c r="A4" s="5" t="s">
        <v>18</v>
      </c>
    </row>
    <row r="5" customFormat="false" ht="23.85" hidden="false" customHeight="false" outlineLevel="0" collapsed="false">
      <c r="A5" s="6" t="s">
        <v>19</v>
      </c>
      <c r="B5" s="6" t="s">
        <v>20</v>
      </c>
      <c r="C5" s="6" t="s">
        <v>21</v>
      </c>
      <c r="D5" s="6" t="s">
        <v>22</v>
      </c>
      <c r="E5" s="6" t="s">
        <v>23</v>
      </c>
      <c r="F5" s="6" t="s">
        <v>24</v>
      </c>
      <c r="G5" s="6" t="s">
        <v>25</v>
      </c>
      <c r="H5" s="6" t="s">
        <v>26</v>
      </c>
    </row>
    <row r="6" customFormat="false" ht="15" hidden="false" customHeight="false" outlineLevel="0" collapsed="false">
      <c r="A6" s="7" t="n">
        <f aca="false">COUNTA('UAT Test Cases'!$J$2:$J$117)</f>
        <v>116</v>
      </c>
      <c r="B6" s="7" t="n">
        <f aca="false">COUNTIF('UAT Test Cases'!$J$2:$J$117,"Pass")</f>
        <v>0</v>
      </c>
      <c r="C6" s="7" t="n">
        <f aca="false">COUNTIF('UAT Test Cases'!$J$2:$J$117,"Fail")</f>
        <v>0</v>
      </c>
      <c r="D6" s="7" t="n">
        <f aca="false">COUNTIF('UAT Test Cases'!$J$2:$J$117,"Blocked")</f>
        <v>0</v>
      </c>
      <c r="E6" s="7" t="n">
        <f aca="false">COUNTIF('UAT Test Cases'!$J$2:$J$117,"Not Tested")</f>
        <v>116</v>
      </c>
      <c r="F6" s="7" t="n">
        <f aca="false">COUNTIF('UAT Test Cases'!$J$2:$J$117,"N/A")</f>
        <v>0</v>
      </c>
      <c r="G6" s="8" t="n">
        <f aca="false">IFERROR((B6+C6+D6+F6)/A6,0)</f>
        <v>0</v>
      </c>
      <c r="H6" s="8" t="n">
        <f aca="false">IFERROR(B6/(B6+C6),0)</f>
        <v>0</v>
      </c>
    </row>
    <row r="9" customFormat="false" ht="15" hidden="false" customHeight="false" outlineLevel="0" collapsed="false">
      <c r="A9" s="5" t="s">
        <v>27</v>
      </c>
    </row>
    <row r="10" customFormat="false" ht="15" hidden="false" customHeight="false" outlineLevel="0" collapsed="false">
      <c r="A10" s="6" t="s">
        <v>28</v>
      </c>
      <c r="B10" s="6" t="s">
        <v>29</v>
      </c>
      <c r="C10" s="6" t="s">
        <v>20</v>
      </c>
      <c r="D10" s="6" t="s">
        <v>21</v>
      </c>
      <c r="E10" s="6" t="s">
        <v>22</v>
      </c>
      <c r="F10" s="6" t="s">
        <v>23</v>
      </c>
      <c r="G10" s="6" t="s">
        <v>25</v>
      </c>
    </row>
    <row r="11" customFormat="false" ht="15" hidden="false" customHeight="false" outlineLevel="0" collapsed="false">
      <c r="A11" s="9" t="s">
        <v>30</v>
      </c>
      <c r="B11" s="7" t="n">
        <f aca="false">COUNTIF('UAT Test Cases'!$B$2:$B$117,$A11)</f>
        <v>4</v>
      </c>
      <c r="C11" s="7" t="n">
        <f aca="false">COUNTIFS('UAT Test Cases'!$B$2:$B$117,$A11,'UAT Test Cases'!$J$2:$J$117,"Pass")</f>
        <v>0</v>
      </c>
      <c r="D11" s="7" t="n">
        <f aca="false">COUNTIFS('UAT Test Cases'!$B$2:$B$117,$A11,'UAT Test Cases'!$J$2:$J$117,"Fail")</f>
        <v>0</v>
      </c>
      <c r="E11" s="7" t="n">
        <f aca="false">COUNTIFS('UAT Test Cases'!$B$2:$B$117,$A11,'UAT Test Cases'!$J$2:$J$117,"Blocked")</f>
        <v>0</v>
      </c>
      <c r="F11" s="7" t="n">
        <f aca="false">COUNTIFS('UAT Test Cases'!$B$2:$B$117,$A11,'UAT Test Cases'!$J$2:$J$117,"Not Tested")</f>
        <v>4</v>
      </c>
      <c r="G11" s="8" t="n">
        <f aca="false">IFERROR((C11+D11+E11)/B11,0)</f>
        <v>0</v>
      </c>
    </row>
    <row r="12" customFormat="false" ht="15" hidden="false" customHeight="false" outlineLevel="0" collapsed="false">
      <c r="A12" s="9" t="s">
        <v>31</v>
      </c>
      <c r="B12" s="7" t="n">
        <f aca="false">COUNTIF('UAT Test Cases'!$B$2:$B$117,$A12)</f>
        <v>6</v>
      </c>
      <c r="C12" s="7" t="n">
        <f aca="false">COUNTIFS('UAT Test Cases'!$B$2:$B$117,$A12,'UAT Test Cases'!$J$2:$J$117,"Pass")</f>
        <v>0</v>
      </c>
      <c r="D12" s="7" t="n">
        <f aca="false">COUNTIFS('UAT Test Cases'!$B$2:$B$117,$A12,'UAT Test Cases'!$J$2:$J$117,"Fail")</f>
        <v>0</v>
      </c>
      <c r="E12" s="7" t="n">
        <f aca="false">COUNTIFS('UAT Test Cases'!$B$2:$B$117,$A12,'UAT Test Cases'!$J$2:$J$117,"Blocked")</f>
        <v>0</v>
      </c>
      <c r="F12" s="7" t="n">
        <f aca="false">COUNTIFS('UAT Test Cases'!$B$2:$B$117,$A12,'UAT Test Cases'!$J$2:$J$117,"Not Tested")</f>
        <v>6</v>
      </c>
      <c r="G12" s="8" t="n">
        <f aca="false">IFERROR((C12+D12+E12)/B12,0)</f>
        <v>0</v>
      </c>
    </row>
    <row r="13" customFormat="false" ht="15" hidden="false" customHeight="false" outlineLevel="0" collapsed="false">
      <c r="A13" s="9" t="s">
        <v>32</v>
      </c>
      <c r="B13" s="7" t="n">
        <f aca="false">COUNTIF('UAT Test Cases'!$B$2:$B$117,$A13)</f>
        <v>8</v>
      </c>
      <c r="C13" s="7" t="n">
        <f aca="false">COUNTIFS('UAT Test Cases'!$B$2:$B$117,$A13,'UAT Test Cases'!$J$2:$J$117,"Pass")</f>
        <v>0</v>
      </c>
      <c r="D13" s="7" t="n">
        <f aca="false">COUNTIFS('UAT Test Cases'!$B$2:$B$117,$A13,'UAT Test Cases'!$J$2:$J$117,"Fail")</f>
        <v>0</v>
      </c>
      <c r="E13" s="7" t="n">
        <f aca="false">COUNTIFS('UAT Test Cases'!$B$2:$B$117,$A13,'UAT Test Cases'!$J$2:$J$117,"Blocked")</f>
        <v>0</v>
      </c>
      <c r="F13" s="7" t="n">
        <f aca="false">COUNTIFS('UAT Test Cases'!$B$2:$B$117,$A13,'UAT Test Cases'!$J$2:$J$117,"Not Tested")</f>
        <v>8</v>
      </c>
      <c r="G13" s="8" t="n">
        <f aca="false">IFERROR((C13+D13+E13)/B13,0)</f>
        <v>0</v>
      </c>
    </row>
    <row r="14" customFormat="false" ht="15" hidden="false" customHeight="false" outlineLevel="0" collapsed="false">
      <c r="A14" s="9" t="s">
        <v>33</v>
      </c>
      <c r="B14" s="7" t="n">
        <f aca="false">COUNTIF('UAT Test Cases'!$B$2:$B$117,$A14)</f>
        <v>6</v>
      </c>
      <c r="C14" s="7" t="n">
        <f aca="false">COUNTIFS('UAT Test Cases'!$B$2:$B$117,$A14,'UAT Test Cases'!$J$2:$J$117,"Pass")</f>
        <v>0</v>
      </c>
      <c r="D14" s="7" t="n">
        <f aca="false">COUNTIFS('UAT Test Cases'!$B$2:$B$117,$A14,'UAT Test Cases'!$J$2:$J$117,"Fail")</f>
        <v>0</v>
      </c>
      <c r="E14" s="7" t="n">
        <f aca="false">COUNTIFS('UAT Test Cases'!$B$2:$B$117,$A14,'UAT Test Cases'!$J$2:$J$117,"Blocked")</f>
        <v>0</v>
      </c>
      <c r="F14" s="7" t="n">
        <f aca="false">COUNTIFS('UAT Test Cases'!$B$2:$B$117,$A14,'UAT Test Cases'!$J$2:$J$117,"Not Tested")</f>
        <v>6</v>
      </c>
      <c r="G14" s="8" t="n">
        <f aca="false">IFERROR((C14+D14+E14)/B14,0)</f>
        <v>0</v>
      </c>
    </row>
    <row r="15" customFormat="false" ht="15" hidden="false" customHeight="false" outlineLevel="0" collapsed="false">
      <c r="A15" s="9" t="s">
        <v>34</v>
      </c>
      <c r="B15" s="7" t="n">
        <f aca="false">COUNTIF('UAT Test Cases'!$B$2:$B$117,$A15)</f>
        <v>6</v>
      </c>
      <c r="C15" s="7" t="n">
        <f aca="false">COUNTIFS('UAT Test Cases'!$B$2:$B$117,$A15,'UAT Test Cases'!$J$2:$J$117,"Pass")</f>
        <v>0</v>
      </c>
      <c r="D15" s="7" t="n">
        <f aca="false">COUNTIFS('UAT Test Cases'!$B$2:$B$117,$A15,'UAT Test Cases'!$J$2:$J$117,"Fail")</f>
        <v>0</v>
      </c>
      <c r="E15" s="7" t="n">
        <f aca="false">COUNTIFS('UAT Test Cases'!$B$2:$B$117,$A15,'UAT Test Cases'!$J$2:$J$117,"Blocked")</f>
        <v>0</v>
      </c>
      <c r="F15" s="7" t="n">
        <f aca="false">COUNTIFS('UAT Test Cases'!$B$2:$B$117,$A15,'UAT Test Cases'!$J$2:$J$117,"Not Tested")</f>
        <v>6</v>
      </c>
      <c r="G15" s="8" t="n">
        <f aca="false">IFERROR((C15+D15+E15)/B15,0)</f>
        <v>0</v>
      </c>
    </row>
    <row r="16" customFormat="false" ht="15" hidden="false" customHeight="false" outlineLevel="0" collapsed="false">
      <c r="A16" s="9" t="s">
        <v>35</v>
      </c>
      <c r="B16" s="7" t="n">
        <f aca="false">COUNTIF('UAT Test Cases'!$B$2:$B$117,$A16)</f>
        <v>5</v>
      </c>
      <c r="C16" s="7" t="n">
        <f aca="false">COUNTIFS('UAT Test Cases'!$B$2:$B$117,$A16,'UAT Test Cases'!$J$2:$J$117,"Pass")</f>
        <v>0</v>
      </c>
      <c r="D16" s="7" t="n">
        <f aca="false">COUNTIFS('UAT Test Cases'!$B$2:$B$117,$A16,'UAT Test Cases'!$J$2:$J$117,"Fail")</f>
        <v>0</v>
      </c>
      <c r="E16" s="7" t="n">
        <f aca="false">COUNTIFS('UAT Test Cases'!$B$2:$B$117,$A16,'UAT Test Cases'!$J$2:$J$117,"Blocked")</f>
        <v>0</v>
      </c>
      <c r="F16" s="7" t="n">
        <f aca="false">COUNTIFS('UAT Test Cases'!$B$2:$B$117,$A16,'UAT Test Cases'!$J$2:$J$117,"Not Tested")</f>
        <v>5</v>
      </c>
      <c r="G16" s="8" t="n">
        <f aca="false">IFERROR((C16+D16+E16)/B16,0)</f>
        <v>0</v>
      </c>
    </row>
    <row r="17" customFormat="false" ht="15" hidden="false" customHeight="false" outlineLevel="0" collapsed="false">
      <c r="A17" s="9" t="s">
        <v>36</v>
      </c>
      <c r="B17" s="7" t="n">
        <f aca="false">COUNTIF('UAT Test Cases'!$B$2:$B$117,$A17)</f>
        <v>5</v>
      </c>
      <c r="C17" s="7" t="n">
        <f aca="false">COUNTIFS('UAT Test Cases'!$B$2:$B$117,$A17,'UAT Test Cases'!$J$2:$J$117,"Pass")</f>
        <v>0</v>
      </c>
      <c r="D17" s="7" t="n">
        <f aca="false">COUNTIFS('UAT Test Cases'!$B$2:$B$117,$A17,'UAT Test Cases'!$J$2:$J$117,"Fail")</f>
        <v>0</v>
      </c>
      <c r="E17" s="7" t="n">
        <f aca="false">COUNTIFS('UAT Test Cases'!$B$2:$B$117,$A17,'UAT Test Cases'!$J$2:$J$117,"Blocked")</f>
        <v>0</v>
      </c>
      <c r="F17" s="7" t="n">
        <f aca="false">COUNTIFS('UAT Test Cases'!$B$2:$B$117,$A17,'UAT Test Cases'!$J$2:$J$117,"Not Tested")</f>
        <v>5</v>
      </c>
      <c r="G17" s="8" t="n">
        <f aca="false">IFERROR((C17+D17+E17)/B17,0)</f>
        <v>0</v>
      </c>
    </row>
    <row r="18" customFormat="false" ht="15" hidden="false" customHeight="false" outlineLevel="0" collapsed="false">
      <c r="A18" s="9" t="s">
        <v>37</v>
      </c>
      <c r="B18" s="7" t="n">
        <f aca="false">COUNTIF('UAT Test Cases'!$B$2:$B$117,$A18)</f>
        <v>6</v>
      </c>
      <c r="C18" s="7" t="n">
        <f aca="false">COUNTIFS('UAT Test Cases'!$B$2:$B$117,$A18,'UAT Test Cases'!$J$2:$J$117,"Pass")</f>
        <v>0</v>
      </c>
      <c r="D18" s="7" t="n">
        <f aca="false">COUNTIFS('UAT Test Cases'!$B$2:$B$117,$A18,'UAT Test Cases'!$J$2:$J$117,"Fail")</f>
        <v>0</v>
      </c>
      <c r="E18" s="7" t="n">
        <f aca="false">COUNTIFS('UAT Test Cases'!$B$2:$B$117,$A18,'UAT Test Cases'!$J$2:$J$117,"Blocked")</f>
        <v>0</v>
      </c>
      <c r="F18" s="7" t="n">
        <f aca="false">COUNTIFS('UAT Test Cases'!$B$2:$B$117,$A18,'UAT Test Cases'!$J$2:$J$117,"Not Tested")</f>
        <v>6</v>
      </c>
      <c r="G18" s="8" t="n">
        <f aca="false">IFERROR((C18+D18+E18)/B18,0)</f>
        <v>0</v>
      </c>
    </row>
    <row r="19" customFormat="false" ht="15" hidden="false" customHeight="false" outlineLevel="0" collapsed="false">
      <c r="A19" s="9" t="s">
        <v>38</v>
      </c>
      <c r="B19" s="7" t="n">
        <f aca="false">COUNTIF('UAT Test Cases'!$B$2:$B$117,$A19)</f>
        <v>7</v>
      </c>
      <c r="C19" s="7" t="n">
        <f aca="false">COUNTIFS('UAT Test Cases'!$B$2:$B$117,$A19,'UAT Test Cases'!$J$2:$J$117,"Pass")</f>
        <v>0</v>
      </c>
      <c r="D19" s="7" t="n">
        <f aca="false">COUNTIFS('UAT Test Cases'!$B$2:$B$117,$A19,'UAT Test Cases'!$J$2:$J$117,"Fail")</f>
        <v>0</v>
      </c>
      <c r="E19" s="7" t="n">
        <f aca="false">COUNTIFS('UAT Test Cases'!$B$2:$B$117,$A19,'UAT Test Cases'!$J$2:$J$117,"Blocked")</f>
        <v>0</v>
      </c>
      <c r="F19" s="7" t="n">
        <f aca="false">COUNTIFS('UAT Test Cases'!$B$2:$B$117,$A19,'UAT Test Cases'!$J$2:$J$117,"Not Tested")</f>
        <v>7</v>
      </c>
      <c r="G19" s="8" t="n">
        <f aca="false">IFERROR((C19+D19+E19)/B19,0)</f>
        <v>0</v>
      </c>
    </row>
    <row r="20" customFormat="false" ht="15" hidden="false" customHeight="false" outlineLevel="0" collapsed="false">
      <c r="A20" s="9" t="s">
        <v>39</v>
      </c>
      <c r="B20" s="7" t="n">
        <f aca="false">COUNTIF('UAT Test Cases'!$B$2:$B$117,$A20)</f>
        <v>4</v>
      </c>
      <c r="C20" s="7" t="n">
        <f aca="false">COUNTIFS('UAT Test Cases'!$B$2:$B$117,$A20,'UAT Test Cases'!$J$2:$J$117,"Pass")</f>
        <v>0</v>
      </c>
      <c r="D20" s="7" t="n">
        <f aca="false">COUNTIFS('UAT Test Cases'!$B$2:$B$117,$A20,'UAT Test Cases'!$J$2:$J$117,"Fail")</f>
        <v>0</v>
      </c>
      <c r="E20" s="7" t="n">
        <f aca="false">COUNTIFS('UAT Test Cases'!$B$2:$B$117,$A20,'UAT Test Cases'!$J$2:$J$117,"Blocked")</f>
        <v>0</v>
      </c>
      <c r="F20" s="7" t="n">
        <f aca="false">COUNTIFS('UAT Test Cases'!$B$2:$B$117,$A20,'UAT Test Cases'!$J$2:$J$117,"Not Tested")</f>
        <v>4</v>
      </c>
      <c r="G20" s="8" t="n">
        <f aca="false">IFERROR((C20+D20+E20)/B20,0)</f>
        <v>0</v>
      </c>
    </row>
    <row r="21" customFormat="false" ht="15" hidden="false" customHeight="false" outlineLevel="0" collapsed="false">
      <c r="A21" s="9" t="s">
        <v>40</v>
      </c>
      <c r="B21" s="7" t="n">
        <f aca="false">COUNTIF('UAT Test Cases'!$B$2:$B$117,$A21)</f>
        <v>5</v>
      </c>
      <c r="C21" s="7" t="n">
        <f aca="false">COUNTIFS('UAT Test Cases'!$B$2:$B$117,$A21,'UAT Test Cases'!$J$2:$J$117,"Pass")</f>
        <v>0</v>
      </c>
      <c r="D21" s="7" t="n">
        <f aca="false">COUNTIFS('UAT Test Cases'!$B$2:$B$117,$A21,'UAT Test Cases'!$J$2:$J$117,"Fail")</f>
        <v>0</v>
      </c>
      <c r="E21" s="7" t="n">
        <f aca="false">COUNTIFS('UAT Test Cases'!$B$2:$B$117,$A21,'UAT Test Cases'!$J$2:$J$117,"Blocked")</f>
        <v>0</v>
      </c>
      <c r="F21" s="7" t="n">
        <f aca="false">COUNTIFS('UAT Test Cases'!$B$2:$B$117,$A21,'UAT Test Cases'!$J$2:$J$117,"Not Tested")</f>
        <v>5</v>
      </c>
      <c r="G21" s="8" t="n">
        <f aca="false">IFERROR((C21+D21+E21)/B21,0)</f>
        <v>0</v>
      </c>
    </row>
    <row r="22" customFormat="false" ht="15" hidden="false" customHeight="false" outlineLevel="0" collapsed="false">
      <c r="A22" s="9" t="s">
        <v>41</v>
      </c>
      <c r="B22" s="7" t="n">
        <f aca="false">COUNTIF('UAT Test Cases'!$B$2:$B$117,$A22)</f>
        <v>5</v>
      </c>
      <c r="C22" s="7" t="n">
        <f aca="false">COUNTIFS('UAT Test Cases'!$B$2:$B$117,$A22,'UAT Test Cases'!$J$2:$J$117,"Pass")</f>
        <v>0</v>
      </c>
      <c r="D22" s="7" t="n">
        <f aca="false">COUNTIFS('UAT Test Cases'!$B$2:$B$117,$A22,'UAT Test Cases'!$J$2:$J$117,"Fail")</f>
        <v>0</v>
      </c>
      <c r="E22" s="7" t="n">
        <f aca="false">COUNTIFS('UAT Test Cases'!$B$2:$B$117,$A22,'UAT Test Cases'!$J$2:$J$117,"Blocked")</f>
        <v>0</v>
      </c>
      <c r="F22" s="7" t="n">
        <f aca="false">COUNTIFS('UAT Test Cases'!$B$2:$B$117,$A22,'UAT Test Cases'!$J$2:$J$117,"Not Tested")</f>
        <v>5</v>
      </c>
      <c r="G22" s="8" t="n">
        <f aca="false">IFERROR((C22+D22+E22)/B22,0)</f>
        <v>0</v>
      </c>
    </row>
    <row r="23" customFormat="false" ht="15" hidden="false" customHeight="false" outlineLevel="0" collapsed="false">
      <c r="A23" s="9" t="s">
        <v>42</v>
      </c>
      <c r="B23" s="7" t="n">
        <f aca="false">COUNTIF('UAT Test Cases'!$B$2:$B$117,$A23)</f>
        <v>5</v>
      </c>
      <c r="C23" s="7" t="n">
        <f aca="false">COUNTIFS('UAT Test Cases'!$B$2:$B$117,$A23,'UAT Test Cases'!$J$2:$J$117,"Pass")</f>
        <v>0</v>
      </c>
      <c r="D23" s="7" t="n">
        <f aca="false">COUNTIFS('UAT Test Cases'!$B$2:$B$117,$A23,'UAT Test Cases'!$J$2:$J$117,"Fail")</f>
        <v>0</v>
      </c>
      <c r="E23" s="7" t="n">
        <f aca="false">COUNTIFS('UAT Test Cases'!$B$2:$B$117,$A23,'UAT Test Cases'!$J$2:$J$117,"Blocked")</f>
        <v>0</v>
      </c>
      <c r="F23" s="7" t="n">
        <f aca="false">COUNTIFS('UAT Test Cases'!$B$2:$B$117,$A23,'UAT Test Cases'!$J$2:$J$117,"Not Tested")</f>
        <v>5</v>
      </c>
      <c r="G23" s="8" t="n">
        <f aca="false">IFERROR((C23+D23+E23)/B23,0)</f>
        <v>0</v>
      </c>
    </row>
    <row r="24" customFormat="false" ht="15" hidden="false" customHeight="false" outlineLevel="0" collapsed="false">
      <c r="A24" s="9" t="s">
        <v>43</v>
      </c>
      <c r="B24" s="7" t="n">
        <f aca="false">COUNTIF('UAT Test Cases'!$B$2:$B$117,$A24)</f>
        <v>6</v>
      </c>
      <c r="C24" s="7" t="n">
        <f aca="false">COUNTIFS('UAT Test Cases'!$B$2:$B$117,$A24,'UAT Test Cases'!$J$2:$J$117,"Pass")</f>
        <v>0</v>
      </c>
      <c r="D24" s="7" t="n">
        <f aca="false">COUNTIFS('UAT Test Cases'!$B$2:$B$117,$A24,'UAT Test Cases'!$J$2:$J$117,"Fail")</f>
        <v>0</v>
      </c>
      <c r="E24" s="7" t="n">
        <f aca="false">COUNTIFS('UAT Test Cases'!$B$2:$B$117,$A24,'UAT Test Cases'!$J$2:$J$117,"Blocked")</f>
        <v>0</v>
      </c>
      <c r="F24" s="7" t="n">
        <f aca="false">COUNTIFS('UAT Test Cases'!$B$2:$B$117,$A24,'UAT Test Cases'!$J$2:$J$117,"Not Tested")</f>
        <v>6</v>
      </c>
      <c r="G24" s="8" t="n">
        <f aca="false">IFERROR((C24+D24+E24)/B24,0)</f>
        <v>0</v>
      </c>
    </row>
    <row r="25" customFormat="false" ht="15" hidden="false" customHeight="false" outlineLevel="0" collapsed="false">
      <c r="A25" s="9" t="s">
        <v>44</v>
      </c>
      <c r="B25" s="7" t="n">
        <f aca="false">COUNTIF('UAT Test Cases'!$B$2:$B$117,$A25)</f>
        <v>3</v>
      </c>
      <c r="C25" s="7" t="n">
        <f aca="false">COUNTIFS('UAT Test Cases'!$B$2:$B$117,$A25,'UAT Test Cases'!$J$2:$J$117,"Pass")</f>
        <v>0</v>
      </c>
      <c r="D25" s="7" t="n">
        <f aca="false">COUNTIFS('UAT Test Cases'!$B$2:$B$117,$A25,'UAT Test Cases'!$J$2:$J$117,"Fail")</f>
        <v>0</v>
      </c>
      <c r="E25" s="7" t="n">
        <f aca="false">COUNTIFS('UAT Test Cases'!$B$2:$B$117,$A25,'UAT Test Cases'!$J$2:$J$117,"Blocked")</f>
        <v>0</v>
      </c>
      <c r="F25" s="7" t="n">
        <f aca="false">COUNTIFS('UAT Test Cases'!$B$2:$B$117,$A25,'UAT Test Cases'!$J$2:$J$117,"Not Tested")</f>
        <v>3</v>
      </c>
      <c r="G25" s="8" t="n">
        <f aca="false">IFERROR((C25+D25+E25)/B25,0)</f>
        <v>0</v>
      </c>
    </row>
    <row r="26" customFormat="false" ht="15" hidden="false" customHeight="false" outlineLevel="0" collapsed="false">
      <c r="A26" s="9" t="s">
        <v>45</v>
      </c>
      <c r="B26" s="7" t="n">
        <f aca="false">COUNTIF('UAT Test Cases'!$B$2:$B$117,$A26)</f>
        <v>5</v>
      </c>
      <c r="C26" s="7" t="n">
        <f aca="false">COUNTIFS('UAT Test Cases'!$B$2:$B$117,$A26,'UAT Test Cases'!$J$2:$J$117,"Pass")</f>
        <v>0</v>
      </c>
      <c r="D26" s="7" t="n">
        <f aca="false">COUNTIFS('UAT Test Cases'!$B$2:$B$117,$A26,'UAT Test Cases'!$J$2:$J$117,"Fail")</f>
        <v>0</v>
      </c>
      <c r="E26" s="7" t="n">
        <f aca="false">COUNTIFS('UAT Test Cases'!$B$2:$B$117,$A26,'UAT Test Cases'!$J$2:$J$117,"Blocked")</f>
        <v>0</v>
      </c>
      <c r="F26" s="7" t="n">
        <f aca="false">COUNTIFS('UAT Test Cases'!$B$2:$B$117,$A26,'UAT Test Cases'!$J$2:$J$117,"Not Tested")</f>
        <v>5</v>
      </c>
      <c r="G26" s="8" t="n">
        <f aca="false">IFERROR((C26+D26+E26)/B26,0)</f>
        <v>0</v>
      </c>
    </row>
    <row r="27" customFormat="false" ht="15" hidden="false" customHeight="false" outlineLevel="0" collapsed="false">
      <c r="A27" s="9" t="s">
        <v>46</v>
      </c>
      <c r="B27" s="7" t="n">
        <f aca="false">COUNTIF('UAT Test Cases'!$B$2:$B$117,$A27)</f>
        <v>5</v>
      </c>
      <c r="C27" s="7" t="n">
        <f aca="false">COUNTIFS('UAT Test Cases'!$B$2:$B$117,$A27,'UAT Test Cases'!$J$2:$J$117,"Pass")</f>
        <v>0</v>
      </c>
      <c r="D27" s="7" t="n">
        <f aca="false">COUNTIFS('UAT Test Cases'!$B$2:$B$117,$A27,'UAT Test Cases'!$J$2:$J$117,"Fail")</f>
        <v>0</v>
      </c>
      <c r="E27" s="7" t="n">
        <f aca="false">COUNTIFS('UAT Test Cases'!$B$2:$B$117,$A27,'UAT Test Cases'!$J$2:$J$117,"Blocked")</f>
        <v>0</v>
      </c>
      <c r="F27" s="7" t="n">
        <f aca="false">COUNTIFS('UAT Test Cases'!$B$2:$B$117,$A27,'UAT Test Cases'!$J$2:$J$117,"Not Tested")</f>
        <v>5</v>
      </c>
      <c r="G27" s="8" t="n">
        <f aca="false">IFERROR((C27+D27+E27)/B27,0)</f>
        <v>0</v>
      </c>
    </row>
    <row r="28" customFormat="false" ht="15" hidden="false" customHeight="false" outlineLevel="0" collapsed="false">
      <c r="A28" s="9" t="s">
        <v>47</v>
      </c>
      <c r="B28" s="7" t="n">
        <f aca="false">COUNTIF('UAT Test Cases'!$B$2:$B$117,$A28)</f>
        <v>5</v>
      </c>
      <c r="C28" s="7" t="n">
        <f aca="false">COUNTIFS('UAT Test Cases'!$B$2:$B$117,$A28,'UAT Test Cases'!$J$2:$J$117,"Pass")</f>
        <v>0</v>
      </c>
      <c r="D28" s="7" t="n">
        <f aca="false">COUNTIFS('UAT Test Cases'!$B$2:$B$117,$A28,'UAT Test Cases'!$J$2:$J$117,"Fail")</f>
        <v>0</v>
      </c>
      <c r="E28" s="7" t="n">
        <f aca="false">COUNTIFS('UAT Test Cases'!$B$2:$B$117,$A28,'UAT Test Cases'!$J$2:$J$117,"Blocked")</f>
        <v>0</v>
      </c>
      <c r="F28" s="7" t="n">
        <f aca="false">COUNTIFS('UAT Test Cases'!$B$2:$B$117,$A28,'UAT Test Cases'!$J$2:$J$117,"Not Tested")</f>
        <v>5</v>
      </c>
      <c r="G28" s="8" t="n">
        <f aca="false">IFERROR((C28+D28+E28)/B28,0)</f>
        <v>0</v>
      </c>
    </row>
    <row r="29" customFormat="false" ht="15" hidden="false" customHeight="false" outlineLevel="0" collapsed="false">
      <c r="A29" s="9" t="s">
        <v>48</v>
      </c>
      <c r="B29" s="7" t="n">
        <f aca="false">COUNTIF('UAT Test Cases'!$B$2:$B$117,$A29)</f>
        <v>4</v>
      </c>
      <c r="C29" s="7" t="n">
        <f aca="false">COUNTIFS('UAT Test Cases'!$B$2:$B$117,$A29,'UAT Test Cases'!$J$2:$J$117,"Pass")</f>
        <v>0</v>
      </c>
      <c r="D29" s="7" t="n">
        <f aca="false">COUNTIFS('UAT Test Cases'!$B$2:$B$117,$A29,'UAT Test Cases'!$J$2:$J$117,"Fail")</f>
        <v>0</v>
      </c>
      <c r="E29" s="7" t="n">
        <f aca="false">COUNTIFS('UAT Test Cases'!$B$2:$B$117,$A29,'UAT Test Cases'!$J$2:$J$117,"Blocked")</f>
        <v>0</v>
      </c>
      <c r="F29" s="7" t="n">
        <f aca="false">COUNTIFS('UAT Test Cases'!$B$2:$B$117,$A29,'UAT Test Cases'!$J$2:$J$117,"Not Tested")</f>
        <v>4</v>
      </c>
      <c r="G29" s="8" t="n">
        <f aca="false">IFERROR((C29+D29+E29)/B29,0)</f>
        <v>0</v>
      </c>
    </row>
    <row r="30" customFormat="false" ht="15" hidden="false" customHeight="false" outlineLevel="0" collapsed="false">
      <c r="A30" s="9" t="s">
        <v>49</v>
      </c>
      <c r="B30" s="7" t="n">
        <f aca="false">COUNTIF('UAT Test Cases'!$B$2:$B$117,$A30)</f>
        <v>5</v>
      </c>
      <c r="C30" s="7" t="n">
        <f aca="false">COUNTIFS('UAT Test Cases'!$B$2:$B$117,$A30,'UAT Test Cases'!$J$2:$J$117,"Pass")</f>
        <v>0</v>
      </c>
      <c r="D30" s="7" t="n">
        <f aca="false">COUNTIFS('UAT Test Cases'!$B$2:$B$117,$A30,'UAT Test Cases'!$J$2:$J$117,"Fail")</f>
        <v>0</v>
      </c>
      <c r="E30" s="7" t="n">
        <f aca="false">COUNTIFS('UAT Test Cases'!$B$2:$B$117,$A30,'UAT Test Cases'!$J$2:$J$117,"Blocked")</f>
        <v>0</v>
      </c>
      <c r="F30" s="7" t="n">
        <f aca="false">COUNTIFS('UAT Test Cases'!$B$2:$B$117,$A30,'UAT Test Cases'!$J$2:$J$117,"Not Tested")</f>
        <v>5</v>
      </c>
      <c r="G30" s="8" t="n">
        <f aca="false">IFERROR((C30+D30+E30)/B30,0)</f>
        <v>0</v>
      </c>
    </row>
    <row r="31" customFormat="false" ht="15" hidden="false" customHeight="false" outlineLevel="0" collapsed="false">
      <c r="A31" s="9" t="s">
        <v>50</v>
      </c>
      <c r="B31" s="7" t="n">
        <f aca="false">COUNTIF('UAT Test Cases'!$B$2:$B$117,$A31)</f>
        <v>5</v>
      </c>
      <c r="C31" s="7" t="n">
        <f aca="false">COUNTIFS('UAT Test Cases'!$B$2:$B$117,$A31,'UAT Test Cases'!$J$2:$J$117,"Pass")</f>
        <v>0</v>
      </c>
      <c r="D31" s="7" t="n">
        <f aca="false">COUNTIFS('UAT Test Cases'!$B$2:$B$117,$A31,'UAT Test Cases'!$J$2:$J$117,"Fail")</f>
        <v>0</v>
      </c>
      <c r="E31" s="7" t="n">
        <f aca="false">COUNTIFS('UAT Test Cases'!$B$2:$B$117,$A31,'UAT Test Cases'!$J$2:$J$117,"Blocked")</f>
        <v>0</v>
      </c>
      <c r="F31" s="7" t="n">
        <f aca="false">COUNTIFS('UAT Test Cases'!$B$2:$B$117,$A31,'UAT Test Cases'!$J$2:$J$117,"Not Tested")</f>
        <v>5</v>
      </c>
      <c r="G31" s="8" t="n">
        <f aca="false">IFERROR((C31+D31+E31)/B31,0)</f>
        <v>0</v>
      </c>
    </row>
    <row r="32" customFormat="false" ht="15" hidden="false" customHeight="false" outlineLevel="0" collapsed="false">
      <c r="A32" s="9" t="s">
        <v>51</v>
      </c>
      <c r="B32" s="7" t="n">
        <f aca="false">COUNTIF('UAT Test Cases'!$B$2:$B$117,$A32)</f>
        <v>4</v>
      </c>
      <c r="C32" s="7" t="n">
        <f aca="false">COUNTIFS('UAT Test Cases'!$B$2:$B$117,$A32,'UAT Test Cases'!$J$2:$J$117,"Pass")</f>
        <v>0</v>
      </c>
      <c r="D32" s="7" t="n">
        <f aca="false">COUNTIFS('UAT Test Cases'!$B$2:$B$117,$A32,'UAT Test Cases'!$J$2:$J$117,"Fail")</f>
        <v>0</v>
      </c>
      <c r="E32" s="7" t="n">
        <f aca="false">COUNTIFS('UAT Test Cases'!$B$2:$B$117,$A32,'UAT Test Cases'!$J$2:$J$117,"Blocked")</f>
        <v>0</v>
      </c>
      <c r="F32" s="7" t="n">
        <f aca="false">COUNTIFS('UAT Test Cases'!$B$2:$B$117,$A32,'UAT Test Cases'!$J$2:$J$117,"Not Tested")</f>
        <v>4</v>
      </c>
      <c r="G32" s="8" t="n">
        <f aca="false">IFERROR((C32+D32+E32)/B32,0)</f>
        <v>0</v>
      </c>
    </row>
    <row r="33" customFormat="false" ht="15" hidden="false" customHeight="false" outlineLevel="0" collapsed="false">
      <c r="A33" s="9" t="s">
        <v>52</v>
      </c>
      <c r="B33" s="7" t="n">
        <f aca="false">COUNTIF('UAT Test Cases'!$B$2:$B$117,$A33)</f>
        <v>2</v>
      </c>
      <c r="C33" s="7" t="n">
        <f aca="false">COUNTIFS('UAT Test Cases'!$B$2:$B$117,$A33,'UAT Test Cases'!$J$2:$J$117,"Pass")</f>
        <v>0</v>
      </c>
      <c r="D33" s="7" t="n">
        <f aca="false">COUNTIFS('UAT Test Cases'!$B$2:$B$117,$A33,'UAT Test Cases'!$J$2:$J$117,"Fail")</f>
        <v>0</v>
      </c>
      <c r="E33" s="7" t="n">
        <f aca="false">COUNTIFS('UAT Test Cases'!$B$2:$B$117,$A33,'UAT Test Cases'!$J$2:$J$117,"Blocked")</f>
        <v>0</v>
      </c>
      <c r="F33" s="7" t="n">
        <f aca="false">COUNTIFS('UAT Test Cases'!$B$2:$B$117,$A33,'UAT Test Cases'!$J$2:$J$117,"Not Tested")</f>
        <v>2</v>
      </c>
      <c r="G33" s="8" t="n">
        <f aca="false">IFERROR((C33+D33+E33)/B33,0)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2"/>
    <col collapsed="false" customWidth="true" hidden="false" outlineLevel="0" max="5" min="4" style="0" width="30"/>
    <col collapsed="false" customWidth="true" hidden="false" outlineLevel="0" max="6" min="6" style="0" width="38"/>
    <col collapsed="false" customWidth="true" hidden="false" outlineLevel="0" max="7" min="7" style="0" width="40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34"/>
    <col collapsed="false" customWidth="true" hidden="false" outlineLevel="0" max="13" min="12" style="0" width="14"/>
  </cols>
  <sheetData>
    <row r="1" customFormat="false" ht="15" hidden="false" customHeight="false" outlineLevel="0" collapsed="false">
      <c r="A1" s="6" t="s">
        <v>53</v>
      </c>
      <c r="B1" s="6" t="s">
        <v>28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  <c r="J1" s="6" t="s">
        <v>61</v>
      </c>
      <c r="K1" s="6" t="s">
        <v>62</v>
      </c>
      <c r="L1" s="6" t="s">
        <v>63</v>
      </c>
      <c r="M1" s="6" t="s">
        <v>64</v>
      </c>
    </row>
    <row r="2" customFormat="false" ht="35.05" hidden="false" customHeight="false" outlineLevel="0" collapsed="false">
      <c r="A2" s="10" t="s">
        <v>65</v>
      </c>
      <c r="B2" s="11" t="s">
        <v>30</v>
      </c>
      <c r="C2" s="10" t="s">
        <v>66</v>
      </c>
      <c r="D2" s="10" t="s">
        <v>67</v>
      </c>
      <c r="E2" s="10" t="s">
        <v>68</v>
      </c>
      <c r="F2" s="10" t="s">
        <v>69</v>
      </c>
      <c r="G2" s="10" t="s">
        <v>70</v>
      </c>
      <c r="H2" s="12" t="s">
        <v>71</v>
      </c>
      <c r="I2" s="10" t="s">
        <v>72</v>
      </c>
      <c r="J2" s="10" t="s">
        <v>23</v>
      </c>
      <c r="K2" s="10"/>
      <c r="L2" s="10"/>
      <c r="M2" s="10"/>
    </row>
    <row r="3" customFormat="false" ht="23.85" hidden="false" customHeight="false" outlineLevel="0" collapsed="false">
      <c r="A3" s="10" t="s">
        <v>73</v>
      </c>
      <c r="B3" s="11" t="s">
        <v>30</v>
      </c>
      <c r="C3" s="10" t="s">
        <v>74</v>
      </c>
      <c r="D3" s="10" t="s">
        <v>75</v>
      </c>
      <c r="E3" s="10" t="s">
        <v>76</v>
      </c>
      <c r="F3" s="10" t="s">
        <v>77</v>
      </c>
      <c r="G3" s="10" t="s">
        <v>78</v>
      </c>
      <c r="H3" s="13" t="s">
        <v>79</v>
      </c>
      <c r="I3" s="10" t="s">
        <v>72</v>
      </c>
      <c r="J3" s="10" t="s">
        <v>23</v>
      </c>
      <c r="K3" s="10"/>
      <c r="L3" s="10"/>
      <c r="M3" s="10"/>
    </row>
    <row r="4" customFormat="false" ht="23.85" hidden="false" customHeight="false" outlineLevel="0" collapsed="false">
      <c r="A4" s="10" t="s">
        <v>80</v>
      </c>
      <c r="B4" s="11" t="s">
        <v>30</v>
      </c>
      <c r="C4" s="10" t="s">
        <v>81</v>
      </c>
      <c r="D4" s="10" t="s">
        <v>82</v>
      </c>
      <c r="E4" s="10" t="s">
        <v>83</v>
      </c>
      <c r="F4" s="10" t="s">
        <v>84</v>
      </c>
      <c r="G4" s="10" t="s">
        <v>85</v>
      </c>
      <c r="H4" s="13" t="s">
        <v>79</v>
      </c>
      <c r="I4" s="10" t="s">
        <v>72</v>
      </c>
      <c r="J4" s="10" t="s">
        <v>23</v>
      </c>
      <c r="K4" s="10"/>
      <c r="L4" s="10"/>
      <c r="M4" s="10"/>
    </row>
    <row r="5" customFormat="false" ht="23.85" hidden="false" customHeight="false" outlineLevel="0" collapsed="false">
      <c r="A5" s="10" t="s">
        <v>86</v>
      </c>
      <c r="B5" s="11" t="s">
        <v>30</v>
      </c>
      <c r="C5" s="10" t="s">
        <v>87</v>
      </c>
      <c r="D5" s="10" t="s">
        <v>88</v>
      </c>
      <c r="E5" s="10" t="s">
        <v>89</v>
      </c>
      <c r="F5" s="10" t="s">
        <v>90</v>
      </c>
      <c r="G5" s="10" t="s">
        <v>91</v>
      </c>
      <c r="H5" s="12" t="s">
        <v>71</v>
      </c>
      <c r="I5" s="10" t="s">
        <v>72</v>
      </c>
      <c r="J5" s="10" t="s">
        <v>23</v>
      </c>
      <c r="K5" s="10"/>
      <c r="L5" s="10"/>
      <c r="M5" s="10"/>
    </row>
    <row r="6" customFormat="false" ht="23.85" hidden="false" customHeight="false" outlineLevel="0" collapsed="false">
      <c r="A6" s="10" t="s">
        <v>92</v>
      </c>
      <c r="B6" s="11" t="s">
        <v>31</v>
      </c>
      <c r="C6" s="10" t="s">
        <v>93</v>
      </c>
      <c r="D6" s="10" t="s">
        <v>94</v>
      </c>
      <c r="E6" s="10" t="s">
        <v>95</v>
      </c>
      <c r="F6" s="10" t="s">
        <v>96</v>
      </c>
      <c r="G6" s="10" t="s">
        <v>97</v>
      </c>
      <c r="H6" s="13" t="s">
        <v>79</v>
      </c>
      <c r="I6" s="10" t="s">
        <v>98</v>
      </c>
      <c r="J6" s="10" t="s">
        <v>23</v>
      </c>
      <c r="K6" s="10"/>
      <c r="L6" s="10"/>
      <c r="M6" s="10"/>
    </row>
    <row r="7" customFormat="false" ht="23.85" hidden="false" customHeight="false" outlineLevel="0" collapsed="false">
      <c r="A7" s="10" t="s">
        <v>99</v>
      </c>
      <c r="B7" s="11" t="s">
        <v>31</v>
      </c>
      <c r="C7" s="10" t="s">
        <v>100</v>
      </c>
      <c r="D7" s="10" t="s">
        <v>101</v>
      </c>
      <c r="E7" s="10" t="s">
        <v>102</v>
      </c>
      <c r="F7" s="10" t="s">
        <v>103</v>
      </c>
      <c r="G7" s="10" t="s">
        <v>104</v>
      </c>
      <c r="H7" s="13" t="s">
        <v>79</v>
      </c>
      <c r="I7" s="10" t="s">
        <v>98</v>
      </c>
      <c r="J7" s="10" t="s">
        <v>23</v>
      </c>
      <c r="K7" s="10"/>
      <c r="L7" s="10"/>
      <c r="M7" s="10"/>
    </row>
    <row r="8" customFormat="false" ht="23.85" hidden="false" customHeight="false" outlineLevel="0" collapsed="false">
      <c r="A8" s="10" t="s">
        <v>105</v>
      </c>
      <c r="B8" s="11" t="s">
        <v>31</v>
      </c>
      <c r="C8" s="10" t="s">
        <v>106</v>
      </c>
      <c r="D8" s="10" t="s">
        <v>107</v>
      </c>
      <c r="E8" s="10" t="s">
        <v>108</v>
      </c>
      <c r="F8" s="10" t="s">
        <v>109</v>
      </c>
      <c r="G8" s="10" t="s">
        <v>104</v>
      </c>
      <c r="H8" s="13" t="s">
        <v>79</v>
      </c>
      <c r="I8" s="10" t="s">
        <v>98</v>
      </c>
      <c r="J8" s="10" t="s">
        <v>23</v>
      </c>
      <c r="K8" s="10"/>
      <c r="L8" s="10"/>
      <c r="M8" s="10"/>
    </row>
    <row r="9" customFormat="false" ht="23.85" hidden="false" customHeight="false" outlineLevel="0" collapsed="false">
      <c r="A9" s="10" t="s">
        <v>110</v>
      </c>
      <c r="B9" s="11" t="s">
        <v>31</v>
      </c>
      <c r="C9" s="10" t="s">
        <v>111</v>
      </c>
      <c r="D9" s="10" t="s">
        <v>112</v>
      </c>
      <c r="E9" s="10" t="s">
        <v>113</v>
      </c>
      <c r="F9" s="10" t="s">
        <v>114</v>
      </c>
      <c r="G9" s="10" t="s">
        <v>115</v>
      </c>
      <c r="H9" s="13" t="s">
        <v>79</v>
      </c>
      <c r="I9" s="10" t="s">
        <v>98</v>
      </c>
      <c r="J9" s="10" t="s">
        <v>23</v>
      </c>
      <c r="K9" s="10"/>
      <c r="L9" s="10"/>
      <c r="M9" s="10"/>
    </row>
    <row r="10" customFormat="false" ht="23.85" hidden="false" customHeight="false" outlineLevel="0" collapsed="false">
      <c r="A10" s="10" t="s">
        <v>116</v>
      </c>
      <c r="B10" s="11" t="s">
        <v>31</v>
      </c>
      <c r="C10" s="10" t="s">
        <v>117</v>
      </c>
      <c r="D10" s="10" t="s">
        <v>118</v>
      </c>
      <c r="E10" s="10" t="s">
        <v>119</v>
      </c>
      <c r="F10" s="10" t="s">
        <v>120</v>
      </c>
      <c r="G10" s="10" t="s">
        <v>121</v>
      </c>
      <c r="H10" s="13" t="s">
        <v>79</v>
      </c>
      <c r="I10" s="10" t="s">
        <v>98</v>
      </c>
      <c r="J10" s="10" t="s">
        <v>23</v>
      </c>
      <c r="K10" s="10"/>
      <c r="L10" s="10"/>
      <c r="M10" s="10"/>
    </row>
    <row r="11" customFormat="false" ht="23.85" hidden="false" customHeight="false" outlineLevel="0" collapsed="false">
      <c r="A11" s="10" t="s">
        <v>122</v>
      </c>
      <c r="B11" s="11" t="s">
        <v>31</v>
      </c>
      <c r="C11" s="10" t="s">
        <v>123</v>
      </c>
      <c r="D11" s="10" t="s">
        <v>124</v>
      </c>
      <c r="E11" s="10" t="s">
        <v>125</v>
      </c>
      <c r="F11" s="10" t="s">
        <v>126</v>
      </c>
      <c r="G11" s="10" t="s">
        <v>127</v>
      </c>
      <c r="H11" s="14" t="s">
        <v>128</v>
      </c>
      <c r="I11" s="10" t="s">
        <v>129</v>
      </c>
      <c r="J11" s="10" t="s">
        <v>23</v>
      </c>
      <c r="K11" s="10"/>
      <c r="L11" s="10"/>
      <c r="M11" s="10"/>
    </row>
    <row r="12" customFormat="false" ht="23.85" hidden="false" customHeight="false" outlineLevel="0" collapsed="false">
      <c r="A12" s="10" t="s">
        <v>130</v>
      </c>
      <c r="B12" s="11" t="s">
        <v>32</v>
      </c>
      <c r="C12" s="10" t="s">
        <v>131</v>
      </c>
      <c r="D12" s="10" t="s">
        <v>132</v>
      </c>
      <c r="E12" s="10" t="s">
        <v>133</v>
      </c>
      <c r="F12" s="10" t="s">
        <v>134</v>
      </c>
      <c r="G12" s="10" t="s">
        <v>135</v>
      </c>
      <c r="H12" s="13" t="s">
        <v>79</v>
      </c>
      <c r="I12" s="10" t="s">
        <v>136</v>
      </c>
      <c r="J12" s="10" t="s">
        <v>23</v>
      </c>
      <c r="K12" s="10"/>
      <c r="L12" s="10"/>
      <c r="M12" s="10"/>
    </row>
    <row r="13" customFormat="false" ht="23.85" hidden="false" customHeight="false" outlineLevel="0" collapsed="false">
      <c r="A13" s="10" t="s">
        <v>137</v>
      </c>
      <c r="B13" s="11" t="s">
        <v>32</v>
      </c>
      <c r="C13" s="10" t="s">
        <v>138</v>
      </c>
      <c r="D13" s="10" t="s">
        <v>139</v>
      </c>
      <c r="E13" s="10" t="s">
        <v>140</v>
      </c>
      <c r="F13" s="10" t="s">
        <v>134</v>
      </c>
      <c r="G13" s="10" t="s">
        <v>141</v>
      </c>
      <c r="H13" s="13" t="s">
        <v>79</v>
      </c>
      <c r="I13" s="10" t="s">
        <v>136</v>
      </c>
      <c r="J13" s="10" t="s">
        <v>23</v>
      </c>
      <c r="K13" s="10"/>
      <c r="L13" s="10"/>
      <c r="M13" s="10"/>
    </row>
    <row r="14" customFormat="false" ht="23.85" hidden="false" customHeight="false" outlineLevel="0" collapsed="false">
      <c r="A14" s="10" t="s">
        <v>142</v>
      </c>
      <c r="B14" s="11" t="s">
        <v>32</v>
      </c>
      <c r="C14" s="10" t="s">
        <v>143</v>
      </c>
      <c r="D14" s="10" t="s">
        <v>144</v>
      </c>
      <c r="E14" s="10" t="s">
        <v>145</v>
      </c>
      <c r="F14" s="10" t="s">
        <v>134</v>
      </c>
      <c r="G14" s="10" t="s">
        <v>146</v>
      </c>
      <c r="H14" s="13" t="s">
        <v>79</v>
      </c>
      <c r="I14" s="10" t="s">
        <v>136</v>
      </c>
      <c r="J14" s="10" t="s">
        <v>23</v>
      </c>
      <c r="K14" s="10"/>
      <c r="L14" s="10"/>
      <c r="M14" s="10"/>
    </row>
    <row r="15" customFormat="false" ht="23.85" hidden="false" customHeight="false" outlineLevel="0" collapsed="false">
      <c r="A15" s="10" t="s">
        <v>147</v>
      </c>
      <c r="B15" s="11" t="s">
        <v>32</v>
      </c>
      <c r="C15" s="10" t="s">
        <v>148</v>
      </c>
      <c r="D15" s="10" t="s">
        <v>149</v>
      </c>
      <c r="E15" s="10" t="s">
        <v>150</v>
      </c>
      <c r="F15" s="10" t="s">
        <v>134</v>
      </c>
      <c r="G15" s="10" t="s">
        <v>151</v>
      </c>
      <c r="H15" s="13" t="s">
        <v>79</v>
      </c>
      <c r="I15" s="10" t="s">
        <v>136</v>
      </c>
      <c r="J15" s="10" t="s">
        <v>23</v>
      </c>
      <c r="K15" s="10"/>
      <c r="L15" s="10"/>
      <c r="M15" s="10"/>
    </row>
    <row r="16" customFormat="false" ht="23.85" hidden="false" customHeight="false" outlineLevel="0" collapsed="false">
      <c r="A16" s="10" t="s">
        <v>152</v>
      </c>
      <c r="B16" s="11" t="s">
        <v>32</v>
      </c>
      <c r="C16" s="10" t="s">
        <v>153</v>
      </c>
      <c r="D16" s="10" t="s">
        <v>154</v>
      </c>
      <c r="E16" s="10" t="s">
        <v>155</v>
      </c>
      <c r="F16" s="10" t="s">
        <v>156</v>
      </c>
      <c r="G16" s="10" t="s">
        <v>157</v>
      </c>
      <c r="H16" s="15" t="s">
        <v>158</v>
      </c>
      <c r="I16" s="10" t="s">
        <v>136</v>
      </c>
      <c r="J16" s="10" t="s">
        <v>23</v>
      </c>
      <c r="K16" s="10"/>
      <c r="L16" s="10"/>
      <c r="M16" s="10"/>
    </row>
    <row r="17" customFormat="false" ht="35.05" hidden="false" customHeight="false" outlineLevel="0" collapsed="false">
      <c r="A17" s="10" t="s">
        <v>159</v>
      </c>
      <c r="B17" s="11" t="s">
        <v>32</v>
      </c>
      <c r="C17" s="10" t="s">
        <v>160</v>
      </c>
      <c r="D17" s="10" t="s">
        <v>161</v>
      </c>
      <c r="E17" s="10" t="s">
        <v>162</v>
      </c>
      <c r="F17" s="10" t="s">
        <v>163</v>
      </c>
      <c r="G17" s="10" t="s">
        <v>164</v>
      </c>
      <c r="H17" s="13" t="s">
        <v>79</v>
      </c>
      <c r="I17" s="10" t="s">
        <v>165</v>
      </c>
      <c r="J17" s="10" t="s">
        <v>23</v>
      </c>
      <c r="K17" s="10"/>
      <c r="L17" s="10"/>
      <c r="M17" s="10"/>
    </row>
    <row r="18" customFormat="false" ht="35.05" hidden="false" customHeight="false" outlineLevel="0" collapsed="false">
      <c r="A18" s="10" t="s">
        <v>166</v>
      </c>
      <c r="B18" s="11" t="s">
        <v>32</v>
      </c>
      <c r="C18" s="10" t="s">
        <v>167</v>
      </c>
      <c r="D18" s="10" t="s">
        <v>168</v>
      </c>
      <c r="E18" s="10" t="s">
        <v>169</v>
      </c>
      <c r="F18" s="10" t="s">
        <v>170</v>
      </c>
      <c r="G18" s="10" t="s">
        <v>171</v>
      </c>
      <c r="H18" s="15" t="s">
        <v>158</v>
      </c>
      <c r="I18" s="10" t="s">
        <v>172</v>
      </c>
      <c r="J18" s="10" t="s">
        <v>23</v>
      </c>
      <c r="K18" s="10"/>
      <c r="L18" s="10"/>
      <c r="M18" s="10"/>
    </row>
    <row r="19" customFormat="false" ht="23.85" hidden="false" customHeight="false" outlineLevel="0" collapsed="false">
      <c r="A19" s="10" t="s">
        <v>173</v>
      </c>
      <c r="B19" s="11" t="s">
        <v>32</v>
      </c>
      <c r="C19" s="10" t="s">
        <v>174</v>
      </c>
      <c r="D19" s="10" t="s">
        <v>175</v>
      </c>
      <c r="E19" s="10" t="s">
        <v>176</v>
      </c>
      <c r="F19" s="10" t="s">
        <v>177</v>
      </c>
      <c r="G19" s="10" t="s">
        <v>178</v>
      </c>
      <c r="H19" s="15" t="s">
        <v>158</v>
      </c>
      <c r="I19" s="10" t="s">
        <v>136</v>
      </c>
      <c r="J19" s="10" t="s">
        <v>23</v>
      </c>
      <c r="K19" s="10"/>
      <c r="L19" s="10"/>
      <c r="M19" s="10"/>
    </row>
    <row r="20" customFormat="false" ht="23.85" hidden="false" customHeight="false" outlineLevel="0" collapsed="false">
      <c r="A20" s="10" t="s">
        <v>179</v>
      </c>
      <c r="B20" s="11" t="s">
        <v>33</v>
      </c>
      <c r="C20" s="10" t="s">
        <v>180</v>
      </c>
      <c r="D20" s="10" t="s">
        <v>181</v>
      </c>
      <c r="E20" s="10" t="s">
        <v>182</v>
      </c>
      <c r="F20" s="10" t="s">
        <v>183</v>
      </c>
      <c r="G20" s="10" t="s">
        <v>184</v>
      </c>
      <c r="H20" s="13" t="s">
        <v>79</v>
      </c>
      <c r="I20" s="10" t="s">
        <v>185</v>
      </c>
      <c r="J20" s="10" t="s">
        <v>23</v>
      </c>
      <c r="K20" s="10"/>
      <c r="L20" s="10"/>
      <c r="M20" s="10"/>
    </row>
    <row r="21" customFormat="false" ht="23.85" hidden="false" customHeight="false" outlineLevel="0" collapsed="false">
      <c r="A21" s="10" t="s">
        <v>186</v>
      </c>
      <c r="B21" s="11" t="s">
        <v>33</v>
      </c>
      <c r="C21" s="10" t="s">
        <v>187</v>
      </c>
      <c r="D21" s="10" t="s">
        <v>188</v>
      </c>
      <c r="E21" s="10" t="s">
        <v>189</v>
      </c>
      <c r="F21" s="10" t="s">
        <v>183</v>
      </c>
      <c r="G21" s="10" t="s">
        <v>190</v>
      </c>
      <c r="H21" s="13" t="s">
        <v>79</v>
      </c>
      <c r="I21" s="10" t="s">
        <v>185</v>
      </c>
      <c r="J21" s="10" t="s">
        <v>23</v>
      </c>
      <c r="K21" s="10"/>
      <c r="L21" s="10"/>
      <c r="M21" s="10"/>
    </row>
    <row r="22" customFormat="false" ht="23.85" hidden="false" customHeight="false" outlineLevel="0" collapsed="false">
      <c r="A22" s="10" t="s">
        <v>191</v>
      </c>
      <c r="B22" s="11" t="s">
        <v>33</v>
      </c>
      <c r="C22" s="10" t="s">
        <v>192</v>
      </c>
      <c r="D22" s="10" t="s">
        <v>193</v>
      </c>
      <c r="E22" s="10" t="s">
        <v>194</v>
      </c>
      <c r="F22" s="10" t="s">
        <v>183</v>
      </c>
      <c r="G22" s="10" t="s">
        <v>195</v>
      </c>
      <c r="H22" s="13" t="s">
        <v>79</v>
      </c>
      <c r="I22" s="10" t="s">
        <v>196</v>
      </c>
      <c r="J22" s="10" t="s">
        <v>23</v>
      </c>
      <c r="K22" s="10"/>
      <c r="L22" s="10"/>
      <c r="M22" s="10"/>
    </row>
    <row r="23" customFormat="false" ht="23.85" hidden="false" customHeight="false" outlineLevel="0" collapsed="false">
      <c r="A23" s="10" t="s">
        <v>197</v>
      </c>
      <c r="B23" s="11" t="s">
        <v>33</v>
      </c>
      <c r="C23" s="10" t="s">
        <v>198</v>
      </c>
      <c r="D23" s="10" t="s">
        <v>199</v>
      </c>
      <c r="E23" s="10" t="s">
        <v>200</v>
      </c>
      <c r="F23" s="10" t="s">
        <v>201</v>
      </c>
      <c r="G23" s="10" t="s">
        <v>202</v>
      </c>
      <c r="H23" s="15" t="s">
        <v>158</v>
      </c>
      <c r="I23" s="10" t="s">
        <v>185</v>
      </c>
      <c r="J23" s="10" t="s">
        <v>23</v>
      </c>
      <c r="K23" s="10"/>
      <c r="L23" s="10"/>
      <c r="M23" s="10"/>
    </row>
    <row r="24" customFormat="false" ht="23.85" hidden="false" customHeight="false" outlineLevel="0" collapsed="false">
      <c r="A24" s="10" t="s">
        <v>203</v>
      </c>
      <c r="B24" s="11" t="s">
        <v>33</v>
      </c>
      <c r="C24" s="10" t="s">
        <v>204</v>
      </c>
      <c r="D24" s="10" t="s">
        <v>205</v>
      </c>
      <c r="E24" s="10" t="s">
        <v>206</v>
      </c>
      <c r="F24" s="10" t="s">
        <v>207</v>
      </c>
      <c r="G24" s="10" t="s">
        <v>208</v>
      </c>
      <c r="H24" s="15" t="s">
        <v>158</v>
      </c>
      <c r="I24" s="10" t="s">
        <v>185</v>
      </c>
      <c r="J24" s="10" t="s">
        <v>23</v>
      </c>
      <c r="K24" s="10"/>
      <c r="L24" s="10"/>
      <c r="M24" s="10"/>
    </row>
    <row r="25" customFormat="false" ht="23.85" hidden="false" customHeight="false" outlineLevel="0" collapsed="false">
      <c r="A25" s="10" t="s">
        <v>209</v>
      </c>
      <c r="B25" s="11" t="s">
        <v>33</v>
      </c>
      <c r="C25" s="10" t="s">
        <v>210</v>
      </c>
      <c r="D25" s="10" t="s">
        <v>211</v>
      </c>
      <c r="E25" s="10" t="s">
        <v>212</v>
      </c>
      <c r="F25" s="10" t="s">
        <v>213</v>
      </c>
      <c r="G25" s="10" t="s">
        <v>214</v>
      </c>
      <c r="H25" s="13" t="s">
        <v>79</v>
      </c>
      <c r="I25" s="10" t="s">
        <v>185</v>
      </c>
      <c r="J25" s="10" t="s">
        <v>23</v>
      </c>
      <c r="K25" s="10"/>
      <c r="L25" s="10"/>
      <c r="M25" s="10"/>
    </row>
    <row r="26" customFormat="false" ht="23.85" hidden="false" customHeight="false" outlineLevel="0" collapsed="false">
      <c r="A26" s="10" t="s">
        <v>215</v>
      </c>
      <c r="B26" s="11" t="s">
        <v>34</v>
      </c>
      <c r="C26" s="10" t="s">
        <v>216</v>
      </c>
      <c r="D26" s="10" t="s">
        <v>217</v>
      </c>
      <c r="E26" s="10" t="s">
        <v>218</v>
      </c>
      <c r="F26" s="10" t="s">
        <v>219</v>
      </c>
      <c r="G26" s="10" t="s">
        <v>220</v>
      </c>
      <c r="H26" s="13" t="s">
        <v>79</v>
      </c>
      <c r="I26" s="10" t="s">
        <v>221</v>
      </c>
      <c r="J26" s="10" t="s">
        <v>23</v>
      </c>
      <c r="K26" s="10"/>
      <c r="L26" s="10"/>
      <c r="M26" s="10"/>
    </row>
    <row r="27" customFormat="false" ht="23.85" hidden="false" customHeight="false" outlineLevel="0" collapsed="false">
      <c r="A27" s="10" t="s">
        <v>222</v>
      </c>
      <c r="B27" s="11" t="s">
        <v>34</v>
      </c>
      <c r="C27" s="10" t="s">
        <v>223</v>
      </c>
      <c r="D27" s="10" t="s">
        <v>224</v>
      </c>
      <c r="E27" s="10" t="s">
        <v>225</v>
      </c>
      <c r="F27" s="10" t="s">
        <v>226</v>
      </c>
      <c r="G27" s="10" t="s">
        <v>227</v>
      </c>
      <c r="H27" s="13" t="s">
        <v>79</v>
      </c>
      <c r="I27" s="10" t="s">
        <v>221</v>
      </c>
      <c r="J27" s="10" t="s">
        <v>23</v>
      </c>
      <c r="K27" s="10"/>
      <c r="L27" s="10"/>
      <c r="M27" s="10"/>
    </row>
    <row r="28" customFormat="false" ht="23.85" hidden="false" customHeight="false" outlineLevel="0" collapsed="false">
      <c r="A28" s="10" t="s">
        <v>228</v>
      </c>
      <c r="B28" s="11" t="s">
        <v>34</v>
      </c>
      <c r="C28" s="10" t="s">
        <v>229</v>
      </c>
      <c r="D28" s="10" t="s">
        <v>230</v>
      </c>
      <c r="E28" s="10" t="s">
        <v>231</v>
      </c>
      <c r="F28" s="10" t="s">
        <v>232</v>
      </c>
      <c r="G28" s="10" t="s">
        <v>233</v>
      </c>
      <c r="H28" s="15" t="s">
        <v>158</v>
      </c>
      <c r="I28" s="10" t="s">
        <v>221</v>
      </c>
      <c r="J28" s="10" t="s">
        <v>23</v>
      </c>
      <c r="K28" s="10"/>
      <c r="L28" s="10"/>
      <c r="M28" s="10"/>
    </row>
    <row r="29" customFormat="false" ht="35.05" hidden="false" customHeight="false" outlineLevel="0" collapsed="false">
      <c r="A29" s="10" t="s">
        <v>234</v>
      </c>
      <c r="B29" s="11" t="s">
        <v>34</v>
      </c>
      <c r="C29" s="10" t="s">
        <v>235</v>
      </c>
      <c r="D29" s="10" t="s">
        <v>236</v>
      </c>
      <c r="E29" s="10" t="s">
        <v>237</v>
      </c>
      <c r="F29" s="10" t="s">
        <v>226</v>
      </c>
      <c r="G29" s="10" t="s">
        <v>238</v>
      </c>
      <c r="H29" s="13" t="s">
        <v>79</v>
      </c>
      <c r="I29" s="10" t="s">
        <v>221</v>
      </c>
      <c r="J29" s="10" t="s">
        <v>23</v>
      </c>
      <c r="K29" s="10"/>
      <c r="L29" s="10"/>
      <c r="M29" s="10"/>
    </row>
    <row r="30" customFormat="false" ht="23.85" hidden="false" customHeight="false" outlineLevel="0" collapsed="false">
      <c r="A30" s="10" t="s">
        <v>239</v>
      </c>
      <c r="B30" s="11" t="s">
        <v>34</v>
      </c>
      <c r="C30" s="10" t="s">
        <v>240</v>
      </c>
      <c r="D30" s="10" t="s">
        <v>241</v>
      </c>
      <c r="E30" s="10" t="s">
        <v>242</v>
      </c>
      <c r="F30" s="10" t="s">
        <v>243</v>
      </c>
      <c r="G30" s="10" t="s">
        <v>244</v>
      </c>
      <c r="H30" s="15" t="s">
        <v>158</v>
      </c>
      <c r="I30" s="10" t="s">
        <v>221</v>
      </c>
      <c r="J30" s="10" t="s">
        <v>23</v>
      </c>
      <c r="K30" s="10"/>
      <c r="L30" s="10"/>
      <c r="M30" s="10"/>
    </row>
    <row r="31" customFormat="false" ht="23.85" hidden="false" customHeight="false" outlineLevel="0" collapsed="false">
      <c r="A31" s="10" t="s">
        <v>245</v>
      </c>
      <c r="B31" s="11" t="s">
        <v>34</v>
      </c>
      <c r="C31" s="10" t="s">
        <v>246</v>
      </c>
      <c r="D31" s="10" t="s">
        <v>247</v>
      </c>
      <c r="E31" s="10" t="s">
        <v>248</v>
      </c>
      <c r="F31" s="10" t="s">
        <v>249</v>
      </c>
      <c r="G31" s="10" t="s">
        <v>250</v>
      </c>
      <c r="H31" s="13" t="s">
        <v>79</v>
      </c>
      <c r="I31" s="10" t="s">
        <v>251</v>
      </c>
      <c r="J31" s="10" t="s">
        <v>23</v>
      </c>
      <c r="K31" s="10"/>
      <c r="L31" s="10"/>
      <c r="M31" s="10"/>
    </row>
    <row r="32" customFormat="false" ht="23.85" hidden="false" customHeight="false" outlineLevel="0" collapsed="false">
      <c r="A32" s="10" t="s">
        <v>252</v>
      </c>
      <c r="B32" s="11" t="s">
        <v>35</v>
      </c>
      <c r="C32" s="10" t="s">
        <v>253</v>
      </c>
      <c r="D32" s="10" t="s">
        <v>254</v>
      </c>
      <c r="E32" s="10" t="s">
        <v>255</v>
      </c>
      <c r="F32" s="10" t="s">
        <v>256</v>
      </c>
      <c r="G32" s="10" t="s">
        <v>257</v>
      </c>
      <c r="H32" s="12" t="s">
        <v>71</v>
      </c>
      <c r="I32" s="10" t="s">
        <v>221</v>
      </c>
      <c r="J32" s="10" t="s">
        <v>23</v>
      </c>
      <c r="K32" s="10"/>
      <c r="L32" s="10"/>
      <c r="M32" s="10"/>
    </row>
    <row r="33" customFormat="false" ht="23.85" hidden="false" customHeight="false" outlineLevel="0" collapsed="false">
      <c r="A33" s="10" t="s">
        <v>258</v>
      </c>
      <c r="B33" s="11" t="s">
        <v>35</v>
      </c>
      <c r="C33" s="10" t="s">
        <v>259</v>
      </c>
      <c r="D33" s="10" t="s">
        <v>260</v>
      </c>
      <c r="E33" s="10" t="s">
        <v>261</v>
      </c>
      <c r="F33" s="10" t="s">
        <v>262</v>
      </c>
      <c r="G33" s="10" t="s">
        <v>263</v>
      </c>
      <c r="H33" s="12" t="s">
        <v>71</v>
      </c>
      <c r="I33" s="10" t="s">
        <v>221</v>
      </c>
      <c r="J33" s="10" t="s">
        <v>23</v>
      </c>
      <c r="K33" s="10"/>
      <c r="L33" s="10"/>
      <c r="M33" s="10"/>
    </row>
    <row r="34" customFormat="false" ht="23.85" hidden="false" customHeight="false" outlineLevel="0" collapsed="false">
      <c r="A34" s="10" t="s">
        <v>264</v>
      </c>
      <c r="B34" s="11" t="s">
        <v>35</v>
      </c>
      <c r="C34" s="10" t="s">
        <v>265</v>
      </c>
      <c r="D34" s="10" t="s">
        <v>266</v>
      </c>
      <c r="E34" s="10" t="s">
        <v>267</v>
      </c>
      <c r="F34" s="10" t="s">
        <v>268</v>
      </c>
      <c r="G34" s="10" t="s">
        <v>269</v>
      </c>
      <c r="H34" s="15" t="s">
        <v>158</v>
      </c>
      <c r="I34" s="10" t="s">
        <v>221</v>
      </c>
      <c r="J34" s="10" t="s">
        <v>23</v>
      </c>
      <c r="K34" s="10"/>
      <c r="L34" s="10"/>
      <c r="M34" s="10"/>
    </row>
    <row r="35" customFormat="false" ht="35.05" hidden="false" customHeight="false" outlineLevel="0" collapsed="false">
      <c r="A35" s="10" t="s">
        <v>270</v>
      </c>
      <c r="B35" s="11" t="s">
        <v>35</v>
      </c>
      <c r="C35" s="10" t="s">
        <v>271</v>
      </c>
      <c r="D35" s="10" t="s">
        <v>272</v>
      </c>
      <c r="E35" s="10" t="s">
        <v>273</v>
      </c>
      <c r="F35" s="10" t="s">
        <v>274</v>
      </c>
      <c r="G35" s="10" t="s">
        <v>275</v>
      </c>
      <c r="H35" s="13" t="s">
        <v>79</v>
      </c>
      <c r="I35" s="10" t="s">
        <v>221</v>
      </c>
      <c r="J35" s="10" t="s">
        <v>23</v>
      </c>
      <c r="K35" s="10"/>
      <c r="L35" s="10"/>
      <c r="M35" s="10"/>
    </row>
    <row r="36" customFormat="false" ht="35.05" hidden="false" customHeight="false" outlineLevel="0" collapsed="false">
      <c r="A36" s="10" t="s">
        <v>276</v>
      </c>
      <c r="B36" s="11" t="s">
        <v>35</v>
      </c>
      <c r="C36" s="10" t="s">
        <v>277</v>
      </c>
      <c r="D36" s="10" t="s">
        <v>278</v>
      </c>
      <c r="E36" s="10" t="s">
        <v>279</v>
      </c>
      <c r="F36" s="10" t="s">
        <v>280</v>
      </c>
      <c r="G36" s="10" t="s">
        <v>281</v>
      </c>
      <c r="H36" s="15" t="s">
        <v>158</v>
      </c>
      <c r="I36" s="10" t="s">
        <v>221</v>
      </c>
      <c r="J36" s="10" t="s">
        <v>23</v>
      </c>
      <c r="K36" s="10"/>
      <c r="L36" s="10"/>
      <c r="M36" s="10"/>
    </row>
    <row r="37" customFormat="false" ht="23.85" hidden="false" customHeight="false" outlineLevel="0" collapsed="false">
      <c r="A37" s="10" t="s">
        <v>282</v>
      </c>
      <c r="B37" s="11" t="s">
        <v>36</v>
      </c>
      <c r="C37" s="10" t="s">
        <v>283</v>
      </c>
      <c r="D37" s="10" t="s">
        <v>284</v>
      </c>
      <c r="E37" s="10" t="s">
        <v>285</v>
      </c>
      <c r="F37" s="10" t="s">
        <v>286</v>
      </c>
      <c r="G37" s="10" t="s">
        <v>287</v>
      </c>
      <c r="H37" s="13" t="s">
        <v>79</v>
      </c>
      <c r="I37" s="10" t="s">
        <v>288</v>
      </c>
      <c r="J37" s="10" t="s">
        <v>23</v>
      </c>
      <c r="K37" s="10"/>
      <c r="L37" s="10"/>
      <c r="M37" s="10"/>
    </row>
    <row r="38" customFormat="false" ht="23.85" hidden="false" customHeight="false" outlineLevel="0" collapsed="false">
      <c r="A38" s="10" t="s">
        <v>289</v>
      </c>
      <c r="B38" s="11" t="s">
        <v>36</v>
      </c>
      <c r="C38" s="10" t="s">
        <v>290</v>
      </c>
      <c r="D38" s="10" t="s">
        <v>291</v>
      </c>
      <c r="E38" s="10" t="s">
        <v>292</v>
      </c>
      <c r="F38" s="10" t="s">
        <v>293</v>
      </c>
      <c r="G38" s="10" t="s">
        <v>294</v>
      </c>
      <c r="H38" s="15" t="s">
        <v>158</v>
      </c>
      <c r="I38" s="10" t="s">
        <v>288</v>
      </c>
      <c r="J38" s="10" t="s">
        <v>23</v>
      </c>
      <c r="K38" s="10"/>
      <c r="L38" s="10"/>
      <c r="M38" s="10"/>
    </row>
    <row r="39" customFormat="false" ht="23.85" hidden="false" customHeight="false" outlineLevel="0" collapsed="false">
      <c r="A39" s="10" t="s">
        <v>295</v>
      </c>
      <c r="B39" s="11" t="s">
        <v>36</v>
      </c>
      <c r="C39" s="10" t="s">
        <v>296</v>
      </c>
      <c r="D39" s="10" t="s">
        <v>297</v>
      </c>
      <c r="E39" s="10" t="s">
        <v>298</v>
      </c>
      <c r="F39" s="10" t="s">
        <v>219</v>
      </c>
      <c r="G39" s="10" t="s">
        <v>299</v>
      </c>
      <c r="H39" s="15" t="s">
        <v>158</v>
      </c>
      <c r="I39" s="10" t="s">
        <v>221</v>
      </c>
      <c r="J39" s="10" t="s">
        <v>23</v>
      </c>
      <c r="K39" s="10"/>
      <c r="L39" s="10"/>
      <c r="M39" s="10"/>
    </row>
    <row r="40" customFormat="false" ht="23.85" hidden="false" customHeight="false" outlineLevel="0" collapsed="false">
      <c r="A40" s="10" t="s">
        <v>300</v>
      </c>
      <c r="B40" s="11" t="s">
        <v>36</v>
      </c>
      <c r="C40" s="10" t="s">
        <v>301</v>
      </c>
      <c r="D40" s="10" t="s">
        <v>302</v>
      </c>
      <c r="E40" s="10" t="s">
        <v>303</v>
      </c>
      <c r="F40" s="10" t="s">
        <v>226</v>
      </c>
      <c r="G40" s="10" t="s">
        <v>304</v>
      </c>
      <c r="H40" s="15" t="s">
        <v>158</v>
      </c>
      <c r="I40" s="10" t="s">
        <v>185</v>
      </c>
      <c r="J40" s="10" t="s">
        <v>23</v>
      </c>
      <c r="K40" s="10"/>
      <c r="L40" s="10"/>
      <c r="M40" s="10"/>
    </row>
    <row r="41" customFormat="false" ht="23.85" hidden="false" customHeight="false" outlineLevel="0" collapsed="false">
      <c r="A41" s="10" t="s">
        <v>305</v>
      </c>
      <c r="B41" s="11" t="s">
        <v>36</v>
      </c>
      <c r="C41" s="10" t="s">
        <v>306</v>
      </c>
      <c r="D41" s="10" t="s">
        <v>307</v>
      </c>
      <c r="E41" s="10" t="s">
        <v>308</v>
      </c>
      <c r="F41" s="10" t="s">
        <v>226</v>
      </c>
      <c r="G41" s="10" t="s">
        <v>309</v>
      </c>
      <c r="H41" s="12" t="s">
        <v>71</v>
      </c>
      <c r="I41" s="10" t="s">
        <v>185</v>
      </c>
      <c r="J41" s="10" t="s">
        <v>23</v>
      </c>
      <c r="K41" s="10"/>
      <c r="L41" s="10"/>
      <c r="M41" s="10"/>
    </row>
    <row r="42" customFormat="false" ht="35.05" hidden="false" customHeight="false" outlineLevel="0" collapsed="false">
      <c r="A42" s="10" t="s">
        <v>310</v>
      </c>
      <c r="B42" s="11" t="s">
        <v>37</v>
      </c>
      <c r="C42" s="10" t="s">
        <v>311</v>
      </c>
      <c r="D42" s="10" t="s">
        <v>312</v>
      </c>
      <c r="E42" s="10" t="s">
        <v>313</v>
      </c>
      <c r="F42" s="10" t="s">
        <v>314</v>
      </c>
      <c r="G42" s="10" t="s">
        <v>315</v>
      </c>
      <c r="H42" s="15" t="s">
        <v>158</v>
      </c>
      <c r="I42" s="10" t="s">
        <v>316</v>
      </c>
      <c r="J42" s="10" t="s">
        <v>23</v>
      </c>
      <c r="K42" s="10"/>
      <c r="L42" s="10"/>
      <c r="M42" s="10"/>
    </row>
    <row r="43" customFormat="false" ht="23.85" hidden="false" customHeight="false" outlineLevel="0" collapsed="false">
      <c r="A43" s="10" t="s">
        <v>317</v>
      </c>
      <c r="B43" s="11" t="s">
        <v>37</v>
      </c>
      <c r="C43" s="10" t="s">
        <v>318</v>
      </c>
      <c r="D43" s="10" t="s">
        <v>319</v>
      </c>
      <c r="E43" s="10" t="s">
        <v>320</v>
      </c>
      <c r="F43" s="10" t="s">
        <v>321</v>
      </c>
      <c r="G43" s="10" t="s">
        <v>322</v>
      </c>
      <c r="H43" s="15" t="s">
        <v>158</v>
      </c>
      <c r="I43" s="10" t="s">
        <v>316</v>
      </c>
      <c r="J43" s="10" t="s">
        <v>23</v>
      </c>
      <c r="K43" s="10"/>
      <c r="L43" s="10"/>
      <c r="M43" s="10"/>
    </row>
    <row r="44" customFormat="false" ht="23.85" hidden="false" customHeight="false" outlineLevel="0" collapsed="false">
      <c r="A44" s="10" t="s">
        <v>323</v>
      </c>
      <c r="B44" s="11" t="s">
        <v>37</v>
      </c>
      <c r="C44" s="10" t="s">
        <v>324</v>
      </c>
      <c r="D44" s="10" t="s">
        <v>325</v>
      </c>
      <c r="E44" s="10" t="s">
        <v>326</v>
      </c>
      <c r="F44" s="10" t="s">
        <v>327</v>
      </c>
      <c r="G44" s="10" t="s">
        <v>328</v>
      </c>
      <c r="H44" s="13" t="s">
        <v>79</v>
      </c>
      <c r="I44" s="10" t="s">
        <v>316</v>
      </c>
      <c r="J44" s="10" t="s">
        <v>23</v>
      </c>
      <c r="K44" s="10"/>
      <c r="L44" s="10"/>
      <c r="M44" s="10"/>
    </row>
    <row r="45" customFormat="false" ht="23.85" hidden="false" customHeight="false" outlineLevel="0" collapsed="false">
      <c r="A45" s="10" t="s">
        <v>329</v>
      </c>
      <c r="B45" s="11" t="s">
        <v>37</v>
      </c>
      <c r="C45" s="10" t="s">
        <v>330</v>
      </c>
      <c r="D45" s="10" t="s">
        <v>331</v>
      </c>
      <c r="E45" s="10" t="s">
        <v>332</v>
      </c>
      <c r="F45" s="10" t="s">
        <v>333</v>
      </c>
      <c r="G45" s="10" t="s">
        <v>334</v>
      </c>
      <c r="H45" s="13" t="s">
        <v>79</v>
      </c>
      <c r="I45" s="10" t="s">
        <v>335</v>
      </c>
      <c r="J45" s="10" t="s">
        <v>23</v>
      </c>
      <c r="K45" s="10"/>
      <c r="L45" s="10"/>
      <c r="M45" s="10"/>
    </row>
    <row r="46" customFormat="false" ht="35.05" hidden="false" customHeight="false" outlineLevel="0" collapsed="false">
      <c r="A46" s="10" t="s">
        <v>336</v>
      </c>
      <c r="B46" s="11" t="s">
        <v>37</v>
      </c>
      <c r="C46" s="10" t="s">
        <v>337</v>
      </c>
      <c r="D46" s="10" t="s">
        <v>338</v>
      </c>
      <c r="E46" s="10" t="s">
        <v>339</v>
      </c>
      <c r="F46" s="10" t="s">
        <v>340</v>
      </c>
      <c r="G46" s="10" t="s">
        <v>341</v>
      </c>
      <c r="H46" s="12" t="s">
        <v>71</v>
      </c>
      <c r="I46" s="10" t="s">
        <v>316</v>
      </c>
      <c r="J46" s="10" t="s">
        <v>23</v>
      </c>
      <c r="K46" s="10"/>
      <c r="L46" s="10"/>
      <c r="M46" s="10"/>
    </row>
    <row r="47" customFormat="false" ht="23.85" hidden="false" customHeight="false" outlineLevel="0" collapsed="false">
      <c r="A47" s="10" t="s">
        <v>342</v>
      </c>
      <c r="B47" s="11" t="s">
        <v>37</v>
      </c>
      <c r="C47" s="10" t="s">
        <v>343</v>
      </c>
      <c r="D47" s="10" t="s">
        <v>344</v>
      </c>
      <c r="E47" s="10" t="s">
        <v>345</v>
      </c>
      <c r="F47" s="10" t="s">
        <v>346</v>
      </c>
      <c r="G47" s="10" t="s">
        <v>347</v>
      </c>
      <c r="H47" s="12" t="s">
        <v>71</v>
      </c>
      <c r="I47" s="10" t="s">
        <v>316</v>
      </c>
      <c r="J47" s="10" t="s">
        <v>23</v>
      </c>
      <c r="K47" s="10"/>
      <c r="L47" s="10"/>
      <c r="M47" s="10"/>
    </row>
    <row r="48" customFormat="false" ht="23.85" hidden="false" customHeight="false" outlineLevel="0" collapsed="false">
      <c r="A48" s="10" t="s">
        <v>348</v>
      </c>
      <c r="B48" s="11" t="s">
        <v>38</v>
      </c>
      <c r="C48" s="10" t="s">
        <v>349</v>
      </c>
      <c r="D48" s="10" t="s">
        <v>350</v>
      </c>
      <c r="E48" s="10" t="s">
        <v>351</v>
      </c>
      <c r="F48" s="10" t="s">
        <v>352</v>
      </c>
      <c r="G48" s="10" t="s">
        <v>353</v>
      </c>
      <c r="H48" s="15" t="s">
        <v>158</v>
      </c>
      <c r="I48" s="10" t="s">
        <v>354</v>
      </c>
      <c r="J48" s="10" t="s">
        <v>23</v>
      </c>
      <c r="K48" s="10"/>
      <c r="L48" s="10"/>
      <c r="M48" s="10"/>
    </row>
    <row r="49" customFormat="false" ht="23.85" hidden="false" customHeight="false" outlineLevel="0" collapsed="false">
      <c r="A49" s="10" t="s">
        <v>355</v>
      </c>
      <c r="B49" s="11" t="s">
        <v>38</v>
      </c>
      <c r="C49" s="10" t="s">
        <v>356</v>
      </c>
      <c r="D49" s="10" t="s">
        <v>357</v>
      </c>
      <c r="E49" s="10" t="s">
        <v>358</v>
      </c>
      <c r="F49" s="10" t="s">
        <v>359</v>
      </c>
      <c r="G49" s="10" t="s">
        <v>360</v>
      </c>
      <c r="H49" s="13" t="s">
        <v>79</v>
      </c>
      <c r="I49" s="10" t="s">
        <v>354</v>
      </c>
      <c r="J49" s="10" t="s">
        <v>23</v>
      </c>
      <c r="K49" s="10"/>
      <c r="L49" s="10"/>
      <c r="M49" s="10"/>
    </row>
    <row r="50" customFormat="false" ht="23.85" hidden="false" customHeight="false" outlineLevel="0" collapsed="false">
      <c r="A50" s="10" t="s">
        <v>361</v>
      </c>
      <c r="B50" s="11" t="s">
        <v>38</v>
      </c>
      <c r="C50" s="10" t="s">
        <v>362</v>
      </c>
      <c r="D50" s="10" t="s">
        <v>363</v>
      </c>
      <c r="E50" s="10" t="s">
        <v>364</v>
      </c>
      <c r="F50" s="10" t="s">
        <v>365</v>
      </c>
      <c r="G50" s="10" t="s">
        <v>366</v>
      </c>
      <c r="H50" s="15" t="s">
        <v>158</v>
      </c>
      <c r="I50" s="10" t="s">
        <v>354</v>
      </c>
      <c r="J50" s="10" t="s">
        <v>23</v>
      </c>
      <c r="K50" s="10"/>
      <c r="L50" s="10"/>
      <c r="M50" s="10"/>
    </row>
    <row r="51" customFormat="false" ht="23.85" hidden="false" customHeight="false" outlineLevel="0" collapsed="false">
      <c r="A51" s="10" t="s">
        <v>367</v>
      </c>
      <c r="B51" s="11" t="s">
        <v>38</v>
      </c>
      <c r="C51" s="10" t="s">
        <v>368</v>
      </c>
      <c r="D51" s="10" t="s">
        <v>369</v>
      </c>
      <c r="E51" s="10" t="s">
        <v>370</v>
      </c>
      <c r="F51" s="10" t="s">
        <v>371</v>
      </c>
      <c r="G51" s="10" t="s">
        <v>372</v>
      </c>
      <c r="H51" s="12" t="s">
        <v>71</v>
      </c>
      <c r="I51" s="10" t="s">
        <v>354</v>
      </c>
      <c r="J51" s="10" t="s">
        <v>23</v>
      </c>
      <c r="K51" s="10"/>
      <c r="L51" s="10"/>
      <c r="M51" s="10"/>
    </row>
    <row r="52" customFormat="false" ht="23.85" hidden="false" customHeight="false" outlineLevel="0" collapsed="false">
      <c r="A52" s="10" t="s">
        <v>373</v>
      </c>
      <c r="B52" s="11" t="s">
        <v>38</v>
      </c>
      <c r="C52" s="10" t="s">
        <v>374</v>
      </c>
      <c r="D52" s="10" t="s">
        <v>375</v>
      </c>
      <c r="E52" s="10" t="s">
        <v>376</v>
      </c>
      <c r="F52" s="10" t="s">
        <v>377</v>
      </c>
      <c r="G52" s="10" t="s">
        <v>378</v>
      </c>
      <c r="H52" s="12" t="s">
        <v>71</v>
      </c>
      <c r="I52" s="10" t="s">
        <v>354</v>
      </c>
      <c r="J52" s="10" t="s">
        <v>23</v>
      </c>
      <c r="K52" s="10"/>
      <c r="L52" s="10"/>
      <c r="M52" s="10"/>
    </row>
    <row r="53" customFormat="false" ht="23.85" hidden="false" customHeight="false" outlineLevel="0" collapsed="false">
      <c r="A53" s="10" t="s">
        <v>379</v>
      </c>
      <c r="B53" s="11" t="s">
        <v>38</v>
      </c>
      <c r="C53" s="10" t="s">
        <v>380</v>
      </c>
      <c r="D53" s="10" t="s">
        <v>381</v>
      </c>
      <c r="E53" s="10" t="s">
        <v>382</v>
      </c>
      <c r="F53" s="10" t="s">
        <v>383</v>
      </c>
      <c r="G53" s="10" t="s">
        <v>384</v>
      </c>
      <c r="H53" s="12" t="s">
        <v>71</v>
      </c>
      <c r="I53" s="10" t="s">
        <v>385</v>
      </c>
      <c r="J53" s="10" t="s">
        <v>23</v>
      </c>
      <c r="K53" s="10"/>
      <c r="L53" s="10"/>
      <c r="M53" s="10"/>
    </row>
    <row r="54" customFormat="false" ht="23.85" hidden="false" customHeight="false" outlineLevel="0" collapsed="false">
      <c r="A54" s="10" t="s">
        <v>386</v>
      </c>
      <c r="B54" s="11" t="s">
        <v>38</v>
      </c>
      <c r="C54" s="10" t="s">
        <v>387</v>
      </c>
      <c r="D54" s="10" t="s">
        <v>388</v>
      </c>
      <c r="E54" s="10" t="s">
        <v>389</v>
      </c>
      <c r="F54" s="10" t="s">
        <v>390</v>
      </c>
      <c r="G54" s="10" t="s">
        <v>391</v>
      </c>
      <c r="H54" s="14" t="s">
        <v>128</v>
      </c>
      <c r="I54" s="10" t="s">
        <v>354</v>
      </c>
      <c r="J54" s="10" t="s">
        <v>23</v>
      </c>
      <c r="K54" s="10"/>
      <c r="L54" s="10"/>
      <c r="M54" s="10"/>
    </row>
    <row r="55" customFormat="false" ht="23.85" hidden="false" customHeight="false" outlineLevel="0" collapsed="false">
      <c r="A55" s="10" t="s">
        <v>392</v>
      </c>
      <c r="B55" s="11" t="s">
        <v>39</v>
      </c>
      <c r="C55" s="10" t="s">
        <v>393</v>
      </c>
      <c r="D55" s="10" t="s">
        <v>394</v>
      </c>
      <c r="E55" s="10" t="s">
        <v>395</v>
      </c>
      <c r="F55" s="10" t="s">
        <v>396</v>
      </c>
      <c r="G55" s="10" t="s">
        <v>397</v>
      </c>
      <c r="H55" s="13" t="s">
        <v>79</v>
      </c>
      <c r="I55" s="10" t="s">
        <v>398</v>
      </c>
      <c r="J55" s="10" t="s">
        <v>23</v>
      </c>
      <c r="K55" s="10"/>
      <c r="L55" s="10"/>
      <c r="M55" s="10"/>
    </row>
    <row r="56" customFormat="false" ht="23.85" hidden="false" customHeight="false" outlineLevel="0" collapsed="false">
      <c r="A56" s="10" t="s">
        <v>399</v>
      </c>
      <c r="B56" s="11" t="s">
        <v>39</v>
      </c>
      <c r="C56" s="10" t="s">
        <v>400</v>
      </c>
      <c r="D56" s="10" t="s">
        <v>401</v>
      </c>
      <c r="E56" s="10" t="s">
        <v>402</v>
      </c>
      <c r="F56" s="10" t="s">
        <v>403</v>
      </c>
      <c r="G56" s="10" t="s">
        <v>404</v>
      </c>
      <c r="H56" s="15" t="s">
        <v>158</v>
      </c>
      <c r="I56" s="10" t="s">
        <v>398</v>
      </c>
      <c r="J56" s="10" t="s">
        <v>23</v>
      </c>
      <c r="K56" s="10"/>
      <c r="L56" s="10"/>
      <c r="M56" s="10"/>
    </row>
    <row r="57" customFormat="false" ht="23.85" hidden="false" customHeight="false" outlineLevel="0" collapsed="false">
      <c r="A57" s="10" t="s">
        <v>405</v>
      </c>
      <c r="B57" s="11" t="s">
        <v>39</v>
      </c>
      <c r="C57" s="10" t="s">
        <v>406</v>
      </c>
      <c r="D57" s="10" t="s">
        <v>407</v>
      </c>
      <c r="E57" s="10" t="s">
        <v>408</v>
      </c>
      <c r="F57" s="10" t="s">
        <v>409</v>
      </c>
      <c r="G57" s="10" t="s">
        <v>410</v>
      </c>
      <c r="H57" s="15" t="s">
        <v>158</v>
      </c>
      <c r="I57" s="10" t="s">
        <v>411</v>
      </c>
      <c r="J57" s="10" t="s">
        <v>23</v>
      </c>
      <c r="K57" s="10"/>
      <c r="L57" s="10"/>
      <c r="M57" s="10"/>
    </row>
    <row r="58" customFormat="false" ht="23.85" hidden="false" customHeight="false" outlineLevel="0" collapsed="false">
      <c r="A58" s="10" t="s">
        <v>412</v>
      </c>
      <c r="B58" s="11" t="s">
        <v>39</v>
      </c>
      <c r="C58" s="10" t="s">
        <v>413</v>
      </c>
      <c r="D58" s="10" t="s">
        <v>414</v>
      </c>
      <c r="E58" s="10" t="s">
        <v>415</v>
      </c>
      <c r="F58" s="10" t="s">
        <v>416</v>
      </c>
      <c r="G58" s="10" t="s">
        <v>417</v>
      </c>
      <c r="H58" s="13" t="s">
        <v>79</v>
      </c>
      <c r="I58" s="10" t="s">
        <v>411</v>
      </c>
      <c r="J58" s="10" t="s">
        <v>23</v>
      </c>
      <c r="K58" s="10"/>
      <c r="L58" s="10"/>
      <c r="M58" s="10"/>
    </row>
    <row r="59" customFormat="false" ht="23.85" hidden="false" customHeight="false" outlineLevel="0" collapsed="false">
      <c r="A59" s="10" t="s">
        <v>418</v>
      </c>
      <c r="B59" s="11" t="s">
        <v>40</v>
      </c>
      <c r="C59" s="10" t="s">
        <v>419</v>
      </c>
      <c r="D59" s="10" t="s">
        <v>420</v>
      </c>
      <c r="E59" s="10" t="s">
        <v>421</v>
      </c>
      <c r="F59" s="10" t="s">
        <v>422</v>
      </c>
      <c r="G59" s="10" t="s">
        <v>423</v>
      </c>
      <c r="H59" s="15" t="s">
        <v>158</v>
      </c>
      <c r="I59" s="10" t="s">
        <v>424</v>
      </c>
      <c r="J59" s="10" t="s">
        <v>23</v>
      </c>
      <c r="K59" s="10"/>
      <c r="L59" s="10"/>
      <c r="M59" s="10"/>
    </row>
    <row r="60" customFormat="false" ht="23.85" hidden="false" customHeight="false" outlineLevel="0" collapsed="false">
      <c r="A60" s="10" t="s">
        <v>425</v>
      </c>
      <c r="B60" s="11" t="s">
        <v>40</v>
      </c>
      <c r="C60" s="10" t="s">
        <v>426</v>
      </c>
      <c r="D60" s="10" t="s">
        <v>427</v>
      </c>
      <c r="E60" s="10" t="s">
        <v>428</v>
      </c>
      <c r="F60" s="10" t="s">
        <v>429</v>
      </c>
      <c r="G60" s="10" t="s">
        <v>430</v>
      </c>
      <c r="H60" s="15" t="s">
        <v>158</v>
      </c>
      <c r="I60" s="10" t="s">
        <v>424</v>
      </c>
      <c r="J60" s="10" t="s">
        <v>23</v>
      </c>
      <c r="K60" s="10"/>
      <c r="L60" s="10"/>
      <c r="M60" s="10"/>
    </row>
    <row r="61" customFormat="false" ht="23.85" hidden="false" customHeight="false" outlineLevel="0" collapsed="false">
      <c r="A61" s="10" t="s">
        <v>431</v>
      </c>
      <c r="B61" s="11" t="s">
        <v>40</v>
      </c>
      <c r="C61" s="10" t="s">
        <v>432</v>
      </c>
      <c r="D61" s="10" t="s">
        <v>433</v>
      </c>
      <c r="E61" s="10" t="s">
        <v>434</v>
      </c>
      <c r="F61" s="10" t="s">
        <v>435</v>
      </c>
      <c r="G61" s="10" t="s">
        <v>436</v>
      </c>
      <c r="H61" s="15" t="s">
        <v>158</v>
      </c>
      <c r="I61" s="10" t="s">
        <v>424</v>
      </c>
      <c r="J61" s="10" t="s">
        <v>23</v>
      </c>
      <c r="K61" s="10"/>
      <c r="L61" s="10"/>
      <c r="M61" s="10"/>
    </row>
    <row r="62" customFormat="false" ht="23.85" hidden="false" customHeight="false" outlineLevel="0" collapsed="false">
      <c r="A62" s="10" t="s">
        <v>437</v>
      </c>
      <c r="B62" s="11" t="s">
        <v>40</v>
      </c>
      <c r="C62" s="10" t="s">
        <v>438</v>
      </c>
      <c r="D62" s="10" t="s">
        <v>439</v>
      </c>
      <c r="E62" s="10" t="s">
        <v>440</v>
      </c>
      <c r="F62" s="10" t="s">
        <v>441</v>
      </c>
      <c r="G62" s="10" t="s">
        <v>442</v>
      </c>
      <c r="H62" s="12" t="s">
        <v>71</v>
      </c>
      <c r="I62" s="10" t="s">
        <v>443</v>
      </c>
      <c r="J62" s="10" t="s">
        <v>23</v>
      </c>
      <c r="K62" s="10"/>
      <c r="L62" s="10"/>
      <c r="M62" s="10"/>
    </row>
    <row r="63" customFormat="false" ht="23.85" hidden="false" customHeight="false" outlineLevel="0" collapsed="false">
      <c r="A63" s="10" t="s">
        <v>444</v>
      </c>
      <c r="B63" s="11" t="s">
        <v>40</v>
      </c>
      <c r="C63" s="10" t="s">
        <v>445</v>
      </c>
      <c r="D63" s="10" t="s">
        <v>446</v>
      </c>
      <c r="E63" s="10" t="s">
        <v>447</v>
      </c>
      <c r="F63" s="10" t="s">
        <v>435</v>
      </c>
      <c r="G63" s="10" t="s">
        <v>448</v>
      </c>
      <c r="H63" s="12" t="s">
        <v>71</v>
      </c>
      <c r="I63" s="10" t="s">
        <v>424</v>
      </c>
      <c r="J63" s="10" t="s">
        <v>23</v>
      </c>
      <c r="K63" s="10"/>
      <c r="L63" s="10"/>
      <c r="M63" s="10"/>
    </row>
    <row r="64" customFormat="false" ht="23.85" hidden="false" customHeight="false" outlineLevel="0" collapsed="false">
      <c r="A64" s="10" t="s">
        <v>449</v>
      </c>
      <c r="B64" s="11" t="s">
        <v>41</v>
      </c>
      <c r="C64" s="10" t="s">
        <v>450</v>
      </c>
      <c r="D64" s="10" t="s">
        <v>451</v>
      </c>
      <c r="E64" s="10" t="s">
        <v>452</v>
      </c>
      <c r="F64" s="10" t="s">
        <v>453</v>
      </c>
      <c r="G64" s="10" t="s">
        <v>454</v>
      </c>
      <c r="H64" s="15" t="s">
        <v>158</v>
      </c>
      <c r="I64" s="10" t="s">
        <v>455</v>
      </c>
      <c r="J64" s="10" t="s">
        <v>23</v>
      </c>
      <c r="K64" s="10"/>
      <c r="L64" s="10"/>
      <c r="M64" s="10"/>
    </row>
    <row r="65" customFormat="false" ht="23.85" hidden="false" customHeight="false" outlineLevel="0" collapsed="false">
      <c r="A65" s="10" t="s">
        <v>456</v>
      </c>
      <c r="B65" s="11" t="s">
        <v>41</v>
      </c>
      <c r="C65" s="10" t="s">
        <v>457</v>
      </c>
      <c r="D65" s="10" t="s">
        <v>458</v>
      </c>
      <c r="E65" s="10" t="s">
        <v>459</v>
      </c>
      <c r="F65" s="10" t="s">
        <v>460</v>
      </c>
      <c r="G65" s="10" t="s">
        <v>461</v>
      </c>
      <c r="H65" s="12" t="s">
        <v>71</v>
      </c>
      <c r="I65" s="10" t="s">
        <v>455</v>
      </c>
      <c r="J65" s="10" t="s">
        <v>23</v>
      </c>
      <c r="K65" s="10"/>
      <c r="L65" s="10"/>
      <c r="M65" s="10"/>
    </row>
    <row r="66" customFormat="false" ht="23.85" hidden="false" customHeight="false" outlineLevel="0" collapsed="false">
      <c r="A66" s="10" t="s">
        <v>462</v>
      </c>
      <c r="B66" s="11" t="s">
        <v>41</v>
      </c>
      <c r="C66" s="10" t="s">
        <v>463</v>
      </c>
      <c r="D66" s="10" t="s">
        <v>464</v>
      </c>
      <c r="E66" s="10" t="s">
        <v>465</v>
      </c>
      <c r="F66" s="10" t="s">
        <v>466</v>
      </c>
      <c r="G66" s="10" t="s">
        <v>467</v>
      </c>
      <c r="H66" s="15" t="s">
        <v>158</v>
      </c>
      <c r="I66" s="10" t="s">
        <v>455</v>
      </c>
      <c r="J66" s="10" t="s">
        <v>23</v>
      </c>
      <c r="K66" s="10"/>
      <c r="L66" s="10"/>
      <c r="M66" s="10"/>
    </row>
    <row r="67" customFormat="false" ht="23.85" hidden="false" customHeight="false" outlineLevel="0" collapsed="false">
      <c r="A67" s="10" t="s">
        <v>468</v>
      </c>
      <c r="B67" s="11" t="s">
        <v>41</v>
      </c>
      <c r="C67" s="10" t="s">
        <v>469</v>
      </c>
      <c r="D67" s="10" t="s">
        <v>470</v>
      </c>
      <c r="E67" s="10" t="s">
        <v>471</v>
      </c>
      <c r="F67" s="10" t="s">
        <v>472</v>
      </c>
      <c r="G67" s="10" t="s">
        <v>473</v>
      </c>
      <c r="H67" s="15" t="s">
        <v>158</v>
      </c>
      <c r="I67" s="10" t="s">
        <v>455</v>
      </c>
      <c r="J67" s="10" t="s">
        <v>23</v>
      </c>
      <c r="K67" s="10"/>
      <c r="L67" s="10"/>
      <c r="M67" s="10"/>
    </row>
    <row r="68" customFormat="false" ht="23.85" hidden="false" customHeight="false" outlineLevel="0" collapsed="false">
      <c r="A68" s="10" t="s">
        <v>474</v>
      </c>
      <c r="B68" s="11" t="s">
        <v>41</v>
      </c>
      <c r="C68" s="10" t="s">
        <v>475</v>
      </c>
      <c r="D68" s="10" t="s">
        <v>476</v>
      </c>
      <c r="E68" s="10" t="s">
        <v>477</v>
      </c>
      <c r="F68" s="10" t="s">
        <v>478</v>
      </c>
      <c r="G68" s="10" t="s">
        <v>479</v>
      </c>
      <c r="H68" s="13" t="s">
        <v>79</v>
      </c>
      <c r="I68" s="10" t="s">
        <v>455</v>
      </c>
      <c r="J68" s="10" t="s">
        <v>23</v>
      </c>
      <c r="K68" s="10"/>
      <c r="L68" s="10"/>
      <c r="M68" s="10"/>
    </row>
    <row r="69" customFormat="false" ht="35.05" hidden="false" customHeight="false" outlineLevel="0" collapsed="false">
      <c r="A69" s="10" t="s">
        <v>480</v>
      </c>
      <c r="B69" s="11" t="s">
        <v>42</v>
      </c>
      <c r="C69" s="10" t="s">
        <v>481</v>
      </c>
      <c r="D69" s="10" t="s">
        <v>482</v>
      </c>
      <c r="E69" s="10" t="s">
        <v>483</v>
      </c>
      <c r="F69" s="10" t="s">
        <v>484</v>
      </c>
      <c r="G69" s="10" t="s">
        <v>485</v>
      </c>
      <c r="H69" s="13" t="s">
        <v>79</v>
      </c>
      <c r="I69" s="10" t="s">
        <v>486</v>
      </c>
      <c r="J69" s="10" t="s">
        <v>23</v>
      </c>
      <c r="K69" s="10"/>
      <c r="L69" s="10"/>
      <c r="M69" s="10"/>
    </row>
    <row r="70" customFormat="false" ht="23.85" hidden="false" customHeight="false" outlineLevel="0" collapsed="false">
      <c r="A70" s="10" t="s">
        <v>487</v>
      </c>
      <c r="B70" s="11" t="s">
        <v>42</v>
      </c>
      <c r="C70" s="10" t="s">
        <v>488</v>
      </c>
      <c r="D70" s="10" t="s">
        <v>489</v>
      </c>
      <c r="E70" s="10" t="s">
        <v>490</v>
      </c>
      <c r="F70" s="10" t="s">
        <v>484</v>
      </c>
      <c r="G70" s="10" t="s">
        <v>491</v>
      </c>
      <c r="H70" s="13" t="s">
        <v>79</v>
      </c>
      <c r="I70" s="10" t="s">
        <v>486</v>
      </c>
      <c r="J70" s="10" t="s">
        <v>23</v>
      </c>
      <c r="K70" s="10"/>
      <c r="L70" s="10"/>
      <c r="M70" s="10"/>
    </row>
    <row r="71" customFormat="false" ht="23.85" hidden="false" customHeight="false" outlineLevel="0" collapsed="false">
      <c r="A71" s="10" t="s">
        <v>492</v>
      </c>
      <c r="B71" s="11" t="s">
        <v>42</v>
      </c>
      <c r="C71" s="10" t="s">
        <v>493</v>
      </c>
      <c r="D71" s="10" t="s">
        <v>494</v>
      </c>
      <c r="E71" s="10" t="s">
        <v>495</v>
      </c>
      <c r="F71" s="10" t="s">
        <v>496</v>
      </c>
      <c r="G71" s="10" t="s">
        <v>497</v>
      </c>
      <c r="H71" s="15" t="s">
        <v>158</v>
      </c>
      <c r="I71" s="10" t="s">
        <v>498</v>
      </c>
      <c r="J71" s="10" t="s">
        <v>23</v>
      </c>
      <c r="K71" s="10"/>
      <c r="L71" s="10"/>
      <c r="M71" s="10"/>
    </row>
    <row r="72" customFormat="false" ht="23.85" hidden="false" customHeight="false" outlineLevel="0" collapsed="false">
      <c r="A72" s="10" t="s">
        <v>499</v>
      </c>
      <c r="B72" s="11" t="s">
        <v>42</v>
      </c>
      <c r="C72" s="10" t="s">
        <v>500</v>
      </c>
      <c r="D72" s="10" t="s">
        <v>501</v>
      </c>
      <c r="E72" s="10" t="s">
        <v>502</v>
      </c>
      <c r="F72" s="10" t="s">
        <v>503</v>
      </c>
      <c r="G72" s="10" t="s">
        <v>504</v>
      </c>
      <c r="H72" s="13" t="s">
        <v>79</v>
      </c>
      <c r="I72" s="10" t="s">
        <v>486</v>
      </c>
      <c r="J72" s="10" t="s">
        <v>23</v>
      </c>
      <c r="K72" s="10"/>
      <c r="L72" s="10"/>
      <c r="M72" s="10"/>
    </row>
    <row r="73" customFormat="false" ht="23.85" hidden="false" customHeight="false" outlineLevel="0" collapsed="false">
      <c r="A73" s="10" t="s">
        <v>505</v>
      </c>
      <c r="B73" s="11" t="s">
        <v>42</v>
      </c>
      <c r="C73" s="10" t="s">
        <v>506</v>
      </c>
      <c r="D73" s="10" t="s">
        <v>507</v>
      </c>
      <c r="E73" s="10" t="s">
        <v>508</v>
      </c>
      <c r="F73" s="10" t="s">
        <v>509</v>
      </c>
      <c r="G73" s="10" t="s">
        <v>510</v>
      </c>
      <c r="H73" s="15" t="s">
        <v>158</v>
      </c>
      <c r="I73" s="10" t="s">
        <v>511</v>
      </c>
      <c r="J73" s="10" t="s">
        <v>23</v>
      </c>
      <c r="K73" s="10"/>
      <c r="L73" s="10"/>
      <c r="M73" s="10"/>
    </row>
    <row r="74" customFormat="false" ht="46.25" hidden="false" customHeight="false" outlineLevel="0" collapsed="false">
      <c r="A74" s="10" t="s">
        <v>512</v>
      </c>
      <c r="B74" s="11" t="s">
        <v>43</v>
      </c>
      <c r="C74" s="10" t="s">
        <v>513</v>
      </c>
      <c r="D74" s="10" t="s">
        <v>514</v>
      </c>
      <c r="E74" s="10" t="s">
        <v>515</v>
      </c>
      <c r="F74" s="10" t="s">
        <v>516</v>
      </c>
      <c r="G74" s="10" t="s">
        <v>517</v>
      </c>
      <c r="H74" s="13" t="s">
        <v>79</v>
      </c>
      <c r="I74" s="10" t="s">
        <v>518</v>
      </c>
      <c r="J74" s="10" t="s">
        <v>23</v>
      </c>
      <c r="K74" s="10"/>
      <c r="L74" s="10"/>
      <c r="M74" s="10"/>
    </row>
    <row r="75" customFormat="false" ht="23.85" hidden="false" customHeight="false" outlineLevel="0" collapsed="false">
      <c r="A75" s="10" t="s">
        <v>519</v>
      </c>
      <c r="B75" s="11" t="s">
        <v>43</v>
      </c>
      <c r="C75" s="10" t="s">
        <v>520</v>
      </c>
      <c r="D75" s="10" t="s">
        <v>521</v>
      </c>
      <c r="E75" s="10" t="s">
        <v>522</v>
      </c>
      <c r="F75" s="10" t="s">
        <v>523</v>
      </c>
      <c r="G75" s="10" t="s">
        <v>524</v>
      </c>
      <c r="H75" s="13" t="s">
        <v>79</v>
      </c>
      <c r="I75" s="10" t="s">
        <v>525</v>
      </c>
      <c r="J75" s="10" t="s">
        <v>23</v>
      </c>
      <c r="K75" s="10"/>
      <c r="L75" s="10"/>
      <c r="M75" s="10"/>
    </row>
    <row r="76" customFormat="false" ht="23.85" hidden="false" customHeight="false" outlineLevel="0" collapsed="false">
      <c r="A76" s="10" t="s">
        <v>526</v>
      </c>
      <c r="B76" s="11" t="s">
        <v>43</v>
      </c>
      <c r="C76" s="10" t="s">
        <v>527</v>
      </c>
      <c r="D76" s="10" t="s">
        <v>528</v>
      </c>
      <c r="E76" s="10" t="s">
        <v>529</v>
      </c>
      <c r="F76" s="10" t="s">
        <v>530</v>
      </c>
      <c r="G76" s="10" t="s">
        <v>531</v>
      </c>
      <c r="H76" s="13" t="s">
        <v>79</v>
      </c>
      <c r="I76" s="10" t="s">
        <v>221</v>
      </c>
      <c r="J76" s="10" t="s">
        <v>23</v>
      </c>
      <c r="K76" s="10"/>
      <c r="L76" s="10"/>
      <c r="M76" s="10"/>
    </row>
    <row r="77" customFormat="false" ht="35.05" hidden="false" customHeight="false" outlineLevel="0" collapsed="false">
      <c r="A77" s="10" t="s">
        <v>532</v>
      </c>
      <c r="B77" s="11" t="s">
        <v>43</v>
      </c>
      <c r="C77" s="10" t="s">
        <v>533</v>
      </c>
      <c r="D77" s="10" t="s">
        <v>534</v>
      </c>
      <c r="E77" s="10" t="s">
        <v>535</v>
      </c>
      <c r="F77" s="10" t="s">
        <v>274</v>
      </c>
      <c r="G77" s="10" t="s">
        <v>536</v>
      </c>
      <c r="H77" s="13" t="s">
        <v>79</v>
      </c>
      <c r="I77" s="10" t="s">
        <v>251</v>
      </c>
      <c r="J77" s="10" t="s">
        <v>23</v>
      </c>
      <c r="K77" s="10"/>
      <c r="L77" s="10"/>
      <c r="M77" s="10"/>
    </row>
    <row r="78" customFormat="false" ht="35.05" hidden="false" customHeight="false" outlineLevel="0" collapsed="false">
      <c r="A78" s="10" t="s">
        <v>537</v>
      </c>
      <c r="B78" s="11" t="s">
        <v>43</v>
      </c>
      <c r="C78" s="10" t="s">
        <v>538</v>
      </c>
      <c r="D78" s="10" t="s">
        <v>539</v>
      </c>
      <c r="E78" s="10" t="s">
        <v>540</v>
      </c>
      <c r="F78" s="10" t="s">
        <v>541</v>
      </c>
      <c r="G78" s="10" t="s">
        <v>542</v>
      </c>
      <c r="H78" s="15" t="s">
        <v>158</v>
      </c>
      <c r="I78" s="10" t="s">
        <v>543</v>
      </c>
      <c r="J78" s="10" t="s">
        <v>23</v>
      </c>
      <c r="K78" s="10"/>
      <c r="L78" s="10"/>
      <c r="M78" s="10"/>
    </row>
    <row r="79" customFormat="false" ht="35.05" hidden="false" customHeight="false" outlineLevel="0" collapsed="false">
      <c r="A79" s="10" t="s">
        <v>544</v>
      </c>
      <c r="B79" s="11" t="s">
        <v>43</v>
      </c>
      <c r="C79" s="10" t="s">
        <v>545</v>
      </c>
      <c r="D79" s="10" t="s">
        <v>546</v>
      </c>
      <c r="E79" s="10" t="s">
        <v>547</v>
      </c>
      <c r="F79" s="10" t="s">
        <v>548</v>
      </c>
      <c r="G79" s="10" t="s">
        <v>549</v>
      </c>
      <c r="H79" s="15" t="s">
        <v>158</v>
      </c>
      <c r="I79" s="10" t="s">
        <v>550</v>
      </c>
      <c r="J79" s="10" t="s">
        <v>23</v>
      </c>
      <c r="K79" s="10"/>
      <c r="L79" s="10"/>
      <c r="M79" s="10"/>
    </row>
    <row r="80" customFormat="false" ht="23.85" hidden="false" customHeight="false" outlineLevel="0" collapsed="false">
      <c r="A80" s="10" t="s">
        <v>551</v>
      </c>
      <c r="B80" s="11" t="s">
        <v>44</v>
      </c>
      <c r="C80" s="10" t="s">
        <v>552</v>
      </c>
      <c r="D80" s="10" t="s">
        <v>553</v>
      </c>
      <c r="E80" s="10" t="s">
        <v>554</v>
      </c>
      <c r="F80" s="10" t="s">
        <v>555</v>
      </c>
      <c r="G80" s="10" t="s">
        <v>556</v>
      </c>
      <c r="H80" s="12" t="s">
        <v>71</v>
      </c>
      <c r="I80" s="10" t="s">
        <v>455</v>
      </c>
      <c r="J80" s="10" t="s">
        <v>23</v>
      </c>
      <c r="K80" s="10"/>
      <c r="L80" s="10"/>
      <c r="M80" s="10"/>
    </row>
    <row r="81" customFormat="false" ht="23.85" hidden="false" customHeight="false" outlineLevel="0" collapsed="false">
      <c r="A81" s="10" t="s">
        <v>557</v>
      </c>
      <c r="B81" s="11" t="s">
        <v>44</v>
      </c>
      <c r="C81" s="10" t="s">
        <v>558</v>
      </c>
      <c r="D81" s="10" t="s">
        <v>559</v>
      </c>
      <c r="E81" s="10" t="s">
        <v>560</v>
      </c>
      <c r="F81" s="10" t="s">
        <v>561</v>
      </c>
      <c r="G81" s="10" t="s">
        <v>562</v>
      </c>
      <c r="H81" s="12" t="s">
        <v>71</v>
      </c>
      <c r="I81" s="10" t="s">
        <v>455</v>
      </c>
      <c r="J81" s="10" t="s">
        <v>23</v>
      </c>
      <c r="K81" s="10"/>
      <c r="L81" s="10"/>
      <c r="M81" s="10"/>
    </row>
    <row r="82" customFormat="false" ht="23.85" hidden="false" customHeight="false" outlineLevel="0" collapsed="false">
      <c r="A82" s="10" t="s">
        <v>563</v>
      </c>
      <c r="B82" s="11" t="s">
        <v>44</v>
      </c>
      <c r="C82" s="10" t="s">
        <v>564</v>
      </c>
      <c r="D82" s="10" t="s">
        <v>565</v>
      </c>
      <c r="E82" s="10" t="s">
        <v>566</v>
      </c>
      <c r="F82" s="10" t="s">
        <v>567</v>
      </c>
      <c r="G82" s="10" t="s">
        <v>568</v>
      </c>
      <c r="H82" s="14" t="s">
        <v>128</v>
      </c>
      <c r="I82" s="10" t="s">
        <v>455</v>
      </c>
      <c r="J82" s="10" t="s">
        <v>23</v>
      </c>
      <c r="K82" s="10"/>
      <c r="L82" s="10"/>
      <c r="M82" s="10"/>
    </row>
    <row r="83" customFormat="false" ht="23.85" hidden="false" customHeight="false" outlineLevel="0" collapsed="false">
      <c r="A83" s="10" t="s">
        <v>569</v>
      </c>
      <c r="B83" s="11" t="s">
        <v>45</v>
      </c>
      <c r="C83" s="10" t="s">
        <v>570</v>
      </c>
      <c r="D83" s="10" t="s">
        <v>571</v>
      </c>
      <c r="E83" s="10" t="s">
        <v>572</v>
      </c>
      <c r="F83" s="10" t="s">
        <v>573</v>
      </c>
      <c r="G83" s="10" t="s">
        <v>574</v>
      </c>
      <c r="H83" s="13" t="s">
        <v>79</v>
      </c>
      <c r="I83" s="10" t="s">
        <v>575</v>
      </c>
      <c r="J83" s="10" t="s">
        <v>23</v>
      </c>
      <c r="K83" s="10"/>
      <c r="L83" s="10"/>
      <c r="M83" s="10"/>
    </row>
    <row r="84" customFormat="false" ht="23.85" hidden="false" customHeight="false" outlineLevel="0" collapsed="false">
      <c r="A84" s="10" t="s">
        <v>576</v>
      </c>
      <c r="B84" s="11" t="s">
        <v>45</v>
      </c>
      <c r="C84" s="10" t="s">
        <v>577</v>
      </c>
      <c r="D84" s="10" t="s">
        <v>578</v>
      </c>
      <c r="E84" s="10" t="s">
        <v>579</v>
      </c>
      <c r="F84" s="10" t="s">
        <v>580</v>
      </c>
      <c r="G84" s="10" t="s">
        <v>581</v>
      </c>
      <c r="H84" s="15" t="s">
        <v>158</v>
      </c>
      <c r="I84" s="10" t="s">
        <v>575</v>
      </c>
      <c r="J84" s="10" t="s">
        <v>23</v>
      </c>
      <c r="K84" s="10"/>
      <c r="L84" s="10"/>
      <c r="M84" s="10"/>
    </row>
    <row r="85" customFormat="false" ht="23.85" hidden="false" customHeight="false" outlineLevel="0" collapsed="false">
      <c r="A85" s="10" t="s">
        <v>582</v>
      </c>
      <c r="B85" s="11" t="s">
        <v>45</v>
      </c>
      <c r="C85" s="10" t="s">
        <v>583</v>
      </c>
      <c r="D85" s="10" t="s">
        <v>584</v>
      </c>
      <c r="E85" s="10" t="s">
        <v>585</v>
      </c>
      <c r="F85" s="10" t="s">
        <v>586</v>
      </c>
      <c r="G85" s="10" t="s">
        <v>587</v>
      </c>
      <c r="H85" s="12" t="s">
        <v>71</v>
      </c>
      <c r="I85" s="10" t="s">
        <v>575</v>
      </c>
      <c r="J85" s="10" t="s">
        <v>23</v>
      </c>
      <c r="K85" s="10"/>
      <c r="L85" s="10"/>
      <c r="M85" s="10"/>
    </row>
    <row r="86" customFormat="false" ht="23.85" hidden="false" customHeight="false" outlineLevel="0" collapsed="false">
      <c r="A86" s="10" t="s">
        <v>588</v>
      </c>
      <c r="B86" s="11" t="s">
        <v>45</v>
      </c>
      <c r="C86" s="10" t="s">
        <v>589</v>
      </c>
      <c r="D86" s="10" t="s">
        <v>590</v>
      </c>
      <c r="E86" s="10" t="s">
        <v>591</v>
      </c>
      <c r="F86" s="10" t="s">
        <v>573</v>
      </c>
      <c r="G86" s="10" t="s">
        <v>592</v>
      </c>
      <c r="H86" s="12" t="s">
        <v>71</v>
      </c>
      <c r="I86" s="10" t="s">
        <v>575</v>
      </c>
      <c r="J86" s="10" t="s">
        <v>23</v>
      </c>
      <c r="K86" s="10"/>
      <c r="L86" s="10"/>
      <c r="M86" s="10"/>
    </row>
    <row r="87" customFormat="false" ht="35.05" hidden="false" customHeight="false" outlineLevel="0" collapsed="false">
      <c r="A87" s="10" t="s">
        <v>593</v>
      </c>
      <c r="B87" s="11" t="s">
        <v>45</v>
      </c>
      <c r="C87" s="10" t="s">
        <v>594</v>
      </c>
      <c r="D87" s="10" t="s">
        <v>595</v>
      </c>
      <c r="E87" s="10" t="s">
        <v>596</v>
      </c>
      <c r="F87" s="10" t="s">
        <v>597</v>
      </c>
      <c r="G87" s="10" t="s">
        <v>598</v>
      </c>
      <c r="H87" s="15" t="s">
        <v>158</v>
      </c>
      <c r="I87" s="10" t="s">
        <v>575</v>
      </c>
      <c r="J87" s="10" t="s">
        <v>23</v>
      </c>
      <c r="K87" s="10"/>
      <c r="L87" s="10"/>
      <c r="M87" s="10"/>
    </row>
    <row r="88" customFormat="false" ht="23.85" hidden="false" customHeight="false" outlineLevel="0" collapsed="false">
      <c r="A88" s="10" t="s">
        <v>599</v>
      </c>
      <c r="B88" s="11" t="s">
        <v>46</v>
      </c>
      <c r="C88" s="10" t="s">
        <v>600</v>
      </c>
      <c r="D88" s="10" t="s">
        <v>601</v>
      </c>
      <c r="E88" s="10" t="s">
        <v>602</v>
      </c>
      <c r="F88" s="10" t="s">
        <v>333</v>
      </c>
      <c r="G88" s="10" t="s">
        <v>603</v>
      </c>
      <c r="H88" s="15" t="s">
        <v>158</v>
      </c>
      <c r="I88" s="10" t="s">
        <v>604</v>
      </c>
      <c r="J88" s="10" t="s">
        <v>23</v>
      </c>
      <c r="K88" s="10"/>
      <c r="L88" s="10"/>
      <c r="M88" s="10"/>
    </row>
    <row r="89" customFormat="false" ht="23.85" hidden="false" customHeight="false" outlineLevel="0" collapsed="false">
      <c r="A89" s="10" t="s">
        <v>605</v>
      </c>
      <c r="B89" s="11" t="s">
        <v>46</v>
      </c>
      <c r="C89" s="10" t="s">
        <v>606</v>
      </c>
      <c r="D89" s="10" t="s">
        <v>607</v>
      </c>
      <c r="E89" s="10" t="s">
        <v>608</v>
      </c>
      <c r="F89" s="10" t="s">
        <v>609</v>
      </c>
      <c r="G89" s="10" t="s">
        <v>610</v>
      </c>
      <c r="H89" s="13" t="s">
        <v>79</v>
      </c>
      <c r="I89" s="10" t="s">
        <v>604</v>
      </c>
      <c r="J89" s="10" t="s">
        <v>23</v>
      </c>
      <c r="K89" s="10"/>
      <c r="L89" s="10"/>
      <c r="M89" s="10"/>
    </row>
    <row r="90" customFormat="false" ht="23.85" hidden="false" customHeight="false" outlineLevel="0" collapsed="false">
      <c r="A90" s="10" t="s">
        <v>611</v>
      </c>
      <c r="B90" s="11" t="s">
        <v>46</v>
      </c>
      <c r="C90" s="10" t="s">
        <v>612</v>
      </c>
      <c r="D90" s="10" t="s">
        <v>613</v>
      </c>
      <c r="E90" s="10" t="s">
        <v>614</v>
      </c>
      <c r="F90" s="10" t="s">
        <v>615</v>
      </c>
      <c r="G90" s="10" t="s">
        <v>616</v>
      </c>
      <c r="H90" s="12" t="s">
        <v>71</v>
      </c>
      <c r="I90" s="10" t="s">
        <v>604</v>
      </c>
      <c r="J90" s="10" t="s">
        <v>23</v>
      </c>
      <c r="K90" s="10"/>
      <c r="L90" s="10"/>
      <c r="M90" s="10"/>
    </row>
    <row r="91" customFormat="false" ht="23.85" hidden="false" customHeight="false" outlineLevel="0" collapsed="false">
      <c r="A91" s="10" t="s">
        <v>617</v>
      </c>
      <c r="B91" s="11" t="s">
        <v>46</v>
      </c>
      <c r="C91" s="10" t="s">
        <v>618</v>
      </c>
      <c r="D91" s="10" t="s">
        <v>619</v>
      </c>
      <c r="E91" s="10" t="s">
        <v>620</v>
      </c>
      <c r="F91" s="10" t="s">
        <v>609</v>
      </c>
      <c r="G91" s="10" t="s">
        <v>621</v>
      </c>
      <c r="H91" s="15" t="s">
        <v>158</v>
      </c>
      <c r="I91" s="10" t="s">
        <v>604</v>
      </c>
      <c r="J91" s="10" t="s">
        <v>23</v>
      </c>
      <c r="K91" s="10"/>
      <c r="L91" s="10"/>
      <c r="M91" s="10"/>
    </row>
    <row r="92" customFormat="false" ht="23.85" hidden="false" customHeight="false" outlineLevel="0" collapsed="false">
      <c r="A92" s="10" t="s">
        <v>622</v>
      </c>
      <c r="B92" s="11" t="s">
        <v>46</v>
      </c>
      <c r="C92" s="10" t="s">
        <v>589</v>
      </c>
      <c r="D92" s="10" t="s">
        <v>623</v>
      </c>
      <c r="E92" s="10" t="s">
        <v>624</v>
      </c>
      <c r="F92" s="10" t="s">
        <v>333</v>
      </c>
      <c r="G92" s="10" t="s">
        <v>625</v>
      </c>
      <c r="H92" s="12" t="s">
        <v>71</v>
      </c>
      <c r="I92" s="10" t="s">
        <v>604</v>
      </c>
      <c r="J92" s="10" t="s">
        <v>23</v>
      </c>
      <c r="K92" s="10"/>
      <c r="L92" s="10"/>
      <c r="M92" s="10"/>
    </row>
    <row r="93" customFormat="false" ht="23.85" hidden="false" customHeight="false" outlineLevel="0" collapsed="false">
      <c r="A93" s="10" t="s">
        <v>626</v>
      </c>
      <c r="B93" s="11" t="s">
        <v>47</v>
      </c>
      <c r="C93" s="10" t="s">
        <v>627</v>
      </c>
      <c r="D93" s="10" t="s">
        <v>628</v>
      </c>
      <c r="E93" s="10" t="s">
        <v>629</v>
      </c>
      <c r="F93" s="10" t="s">
        <v>630</v>
      </c>
      <c r="G93" s="10" t="s">
        <v>631</v>
      </c>
      <c r="H93" s="13" t="s">
        <v>79</v>
      </c>
      <c r="I93" s="10" t="s">
        <v>632</v>
      </c>
      <c r="J93" s="10" t="s">
        <v>23</v>
      </c>
      <c r="K93" s="10"/>
      <c r="L93" s="10"/>
      <c r="M93" s="10"/>
    </row>
    <row r="94" customFormat="false" ht="23.85" hidden="false" customHeight="false" outlineLevel="0" collapsed="false">
      <c r="A94" s="10" t="s">
        <v>633</v>
      </c>
      <c r="B94" s="11" t="s">
        <v>47</v>
      </c>
      <c r="C94" s="10" t="s">
        <v>634</v>
      </c>
      <c r="D94" s="10" t="s">
        <v>635</v>
      </c>
      <c r="E94" s="10" t="s">
        <v>636</v>
      </c>
      <c r="F94" s="10" t="s">
        <v>637</v>
      </c>
      <c r="G94" s="10" t="s">
        <v>638</v>
      </c>
      <c r="H94" s="12" t="s">
        <v>71</v>
      </c>
      <c r="I94" s="10" t="s">
        <v>632</v>
      </c>
      <c r="J94" s="10" t="s">
        <v>23</v>
      </c>
      <c r="K94" s="10"/>
      <c r="L94" s="10"/>
      <c r="M94" s="10"/>
    </row>
    <row r="95" customFormat="false" ht="23.85" hidden="false" customHeight="false" outlineLevel="0" collapsed="false">
      <c r="A95" s="10" t="s">
        <v>639</v>
      </c>
      <c r="B95" s="11" t="s">
        <v>47</v>
      </c>
      <c r="C95" s="10" t="s">
        <v>640</v>
      </c>
      <c r="D95" s="10" t="s">
        <v>641</v>
      </c>
      <c r="E95" s="10" t="s">
        <v>642</v>
      </c>
      <c r="F95" s="10" t="s">
        <v>643</v>
      </c>
      <c r="G95" s="10" t="s">
        <v>644</v>
      </c>
      <c r="H95" s="15" t="s">
        <v>158</v>
      </c>
      <c r="I95" s="10" t="s">
        <v>632</v>
      </c>
      <c r="J95" s="10" t="s">
        <v>23</v>
      </c>
      <c r="K95" s="10"/>
      <c r="L95" s="10"/>
      <c r="M95" s="10"/>
    </row>
    <row r="96" customFormat="false" ht="23.85" hidden="false" customHeight="false" outlineLevel="0" collapsed="false">
      <c r="A96" s="10" t="s">
        <v>645</v>
      </c>
      <c r="B96" s="11" t="s">
        <v>47</v>
      </c>
      <c r="C96" s="10" t="s">
        <v>646</v>
      </c>
      <c r="D96" s="10" t="s">
        <v>647</v>
      </c>
      <c r="E96" s="10" t="s">
        <v>648</v>
      </c>
      <c r="F96" s="10" t="s">
        <v>649</v>
      </c>
      <c r="G96" s="10" t="s">
        <v>650</v>
      </c>
      <c r="H96" s="12" t="s">
        <v>71</v>
      </c>
      <c r="I96" s="10" t="s">
        <v>632</v>
      </c>
      <c r="J96" s="10" t="s">
        <v>23</v>
      </c>
      <c r="K96" s="10"/>
      <c r="L96" s="10"/>
      <c r="M96" s="10"/>
    </row>
    <row r="97" customFormat="false" ht="23.85" hidden="false" customHeight="false" outlineLevel="0" collapsed="false">
      <c r="A97" s="10" t="s">
        <v>651</v>
      </c>
      <c r="B97" s="11" t="s">
        <v>47</v>
      </c>
      <c r="C97" s="10" t="s">
        <v>652</v>
      </c>
      <c r="D97" s="10" t="s">
        <v>653</v>
      </c>
      <c r="E97" s="10" t="s">
        <v>654</v>
      </c>
      <c r="F97" s="10" t="s">
        <v>655</v>
      </c>
      <c r="G97" s="10" t="s">
        <v>656</v>
      </c>
      <c r="H97" s="12" t="s">
        <v>71</v>
      </c>
      <c r="I97" s="10" t="s">
        <v>632</v>
      </c>
      <c r="J97" s="10" t="s">
        <v>23</v>
      </c>
      <c r="K97" s="10"/>
      <c r="L97" s="10"/>
      <c r="M97" s="10"/>
    </row>
    <row r="98" customFormat="false" ht="35.05" hidden="false" customHeight="false" outlineLevel="0" collapsed="false">
      <c r="A98" s="10" t="s">
        <v>657</v>
      </c>
      <c r="B98" s="11" t="s">
        <v>48</v>
      </c>
      <c r="C98" s="10" t="s">
        <v>658</v>
      </c>
      <c r="D98" s="10" t="s">
        <v>659</v>
      </c>
      <c r="E98" s="10" t="s">
        <v>660</v>
      </c>
      <c r="F98" s="10" t="s">
        <v>661</v>
      </c>
      <c r="G98" s="10" t="s">
        <v>662</v>
      </c>
      <c r="H98" s="12" t="s">
        <v>71</v>
      </c>
      <c r="I98" s="10" t="s">
        <v>663</v>
      </c>
      <c r="J98" s="10" t="s">
        <v>23</v>
      </c>
      <c r="K98" s="10"/>
      <c r="L98" s="10"/>
      <c r="M98" s="10"/>
    </row>
    <row r="99" customFormat="false" ht="23.85" hidden="false" customHeight="false" outlineLevel="0" collapsed="false">
      <c r="A99" s="10" t="s">
        <v>664</v>
      </c>
      <c r="B99" s="11" t="s">
        <v>48</v>
      </c>
      <c r="C99" s="10" t="s">
        <v>665</v>
      </c>
      <c r="D99" s="10" t="s">
        <v>666</v>
      </c>
      <c r="E99" s="10" t="s">
        <v>667</v>
      </c>
      <c r="F99" s="10" t="s">
        <v>668</v>
      </c>
      <c r="G99" s="10" t="s">
        <v>669</v>
      </c>
      <c r="H99" s="15" t="s">
        <v>158</v>
      </c>
      <c r="I99" s="10" t="s">
        <v>663</v>
      </c>
      <c r="J99" s="10" t="s">
        <v>23</v>
      </c>
      <c r="K99" s="10"/>
      <c r="L99" s="10"/>
      <c r="M99" s="10"/>
    </row>
    <row r="100" customFormat="false" ht="23.85" hidden="false" customHeight="false" outlineLevel="0" collapsed="false">
      <c r="A100" s="10" t="s">
        <v>670</v>
      </c>
      <c r="B100" s="11" t="s">
        <v>48</v>
      </c>
      <c r="C100" s="10" t="s">
        <v>671</v>
      </c>
      <c r="D100" s="10" t="s">
        <v>672</v>
      </c>
      <c r="E100" s="10" t="s">
        <v>673</v>
      </c>
      <c r="F100" s="10" t="s">
        <v>674</v>
      </c>
      <c r="G100" s="10" t="s">
        <v>675</v>
      </c>
      <c r="H100" s="12" t="s">
        <v>71</v>
      </c>
      <c r="I100" s="10" t="s">
        <v>676</v>
      </c>
      <c r="J100" s="10" t="s">
        <v>23</v>
      </c>
      <c r="K100" s="10"/>
      <c r="L100" s="10"/>
      <c r="M100" s="10"/>
    </row>
    <row r="101" customFormat="false" ht="23.85" hidden="false" customHeight="false" outlineLevel="0" collapsed="false">
      <c r="A101" s="10" t="s">
        <v>677</v>
      </c>
      <c r="B101" s="11" t="s">
        <v>48</v>
      </c>
      <c r="C101" s="10" t="s">
        <v>678</v>
      </c>
      <c r="D101" s="10" t="s">
        <v>679</v>
      </c>
      <c r="E101" s="10" t="s">
        <v>680</v>
      </c>
      <c r="F101" s="10" t="s">
        <v>681</v>
      </c>
      <c r="G101" s="10" t="s">
        <v>682</v>
      </c>
      <c r="H101" s="13" t="s">
        <v>79</v>
      </c>
      <c r="I101" s="10" t="s">
        <v>663</v>
      </c>
      <c r="J101" s="10" t="s">
        <v>23</v>
      </c>
      <c r="K101" s="10"/>
      <c r="L101" s="10"/>
      <c r="M101" s="10"/>
    </row>
    <row r="102" customFormat="false" ht="23.85" hidden="false" customHeight="false" outlineLevel="0" collapsed="false">
      <c r="A102" s="10" t="s">
        <v>683</v>
      </c>
      <c r="B102" s="11" t="s">
        <v>49</v>
      </c>
      <c r="C102" s="10" t="s">
        <v>684</v>
      </c>
      <c r="D102" s="10" t="s">
        <v>685</v>
      </c>
      <c r="E102" s="10" t="s">
        <v>686</v>
      </c>
      <c r="F102" s="10" t="s">
        <v>687</v>
      </c>
      <c r="G102" s="10" t="s">
        <v>688</v>
      </c>
      <c r="H102" s="13" t="s">
        <v>79</v>
      </c>
      <c r="I102" s="10" t="s">
        <v>689</v>
      </c>
      <c r="J102" s="10" t="s">
        <v>23</v>
      </c>
      <c r="K102" s="10"/>
      <c r="L102" s="10"/>
      <c r="M102" s="10"/>
    </row>
    <row r="103" customFormat="false" ht="23.85" hidden="false" customHeight="false" outlineLevel="0" collapsed="false">
      <c r="A103" s="10" t="s">
        <v>690</v>
      </c>
      <c r="B103" s="11" t="s">
        <v>49</v>
      </c>
      <c r="C103" s="10" t="s">
        <v>691</v>
      </c>
      <c r="D103" s="10" t="s">
        <v>692</v>
      </c>
      <c r="E103" s="10" t="s">
        <v>693</v>
      </c>
      <c r="F103" s="10" t="s">
        <v>694</v>
      </c>
      <c r="G103" s="10" t="s">
        <v>695</v>
      </c>
      <c r="H103" s="13" t="s">
        <v>79</v>
      </c>
      <c r="I103" s="10" t="s">
        <v>689</v>
      </c>
      <c r="J103" s="10" t="s">
        <v>23</v>
      </c>
      <c r="K103" s="10"/>
      <c r="L103" s="10"/>
      <c r="M103" s="10"/>
    </row>
    <row r="104" customFormat="false" ht="23.85" hidden="false" customHeight="false" outlineLevel="0" collapsed="false">
      <c r="A104" s="10" t="s">
        <v>696</v>
      </c>
      <c r="B104" s="11" t="s">
        <v>49</v>
      </c>
      <c r="C104" s="10" t="s">
        <v>697</v>
      </c>
      <c r="D104" s="10" t="s">
        <v>698</v>
      </c>
      <c r="E104" s="10" t="s">
        <v>699</v>
      </c>
      <c r="F104" s="10" t="s">
        <v>700</v>
      </c>
      <c r="G104" s="10" t="s">
        <v>701</v>
      </c>
      <c r="H104" s="15" t="s">
        <v>158</v>
      </c>
      <c r="I104" s="10" t="s">
        <v>689</v>
      </c>
      <c r="J104" s="10" t="s">
        <v>23</v>
      </c>
      <c r="K104" s="10"/>
      <c r="L104" s="10"/>
      <c r="M104" s="10"/>
    </row>
    <row r="105" customFormat="false" ht="23.85" hidden="false" customHeight="false" outlineLevel="0" collapsed="false">
      <c r="A105" s="10" t="s">
        <v>702</v>
      </c>
      <c r="B105" s="11" t="s">
        <v>49</v>
      </c>
      <c r="C105" s="10" t="s">
        <v>703</v>
      </c>
      <c r="D105" s="10" t="s">
        <v>704</v>
      </c>
      <c r="E105" s="10" t="s">
        <v>705</v>
      </c>
      <c r="F105" s="10" t="s">
        <v>706</v>
      </c>
      <c r="G105" s="10" t="s">
        <v>707</v>
      </c>
      <c r="H105" s="13" t="s">
        <v>79</v>
      </c>
      <c r="I105" s="10" t="s">
        <v>689</v>
      </c>
      <c r="J105" s="10" t="s">
        <v>23</v>
      </c>
      <c r="K105" s="10"/>
      <c r="L105" s="10"/>
      <c r="M105" s="10"/>
    </row>
    <row r="106" customFormat="false" ht="23.85" hidden="false" customHeight="false" outlineLevel="0" collapsed="false">
      <c r="A106" s="10" t="s">
        <v>708</v>
      </c>
      <c r="B106" s="11" t="s">
        <v>49</v>
      </c>
      <c r="C106" s="10" t="s">
        <v>709</v>
      </c>
      <c r="D106" s="10" t="s">
        <v>710</v>
      </c>
      <c r="E106" s="10" t="s">
        <v>711</v>
      </c>
      <c r="F106" s="10" t="s">
        <v>712</v>
      </c>
      <c r="G106" s="10" t="s">
        <v>713</v>
      </c>
      <c r="H106" s="12" t="s">
        <v>71</v>
      </c>
      <c r="I106" s="10" t="s">
        <v>689</v>
      </c>
      <c r="J106" s="10" t="s">
        <v>23</v>
      </c>
      <c r="K106" s="10"/>
      <c r="L106" s="10"/>
      <c r="M106" s="10"/>
    </row>
    <row r="107" customFormat="false" ht="23.85" hidden="false" customHeight="false" outlineLevel="0" collapsed="false">
      <c r="A107" s="10" t="s">
        <v>714</v>
      </c>
      <c r="B107" s="11" t="s">
        <v>50</v>
      </c>
      <c r="C107" s="10" t="s">
        <v>715</v>
      </c>
      <c r="D107" s="10" t="s">
        <v>716</v>
      </c>
      <c r="E107" s="10" t="s">
        <v>717</v>
      </c>
      <c r="F107" s="10" t="s">
        <v>718</v>
      </c>
      <c r="G107" s="10" t="s">
        <v>719</v>
      </c>
      <c r="H107" s="12" t="s">
        <v>71</v>
      </c>
      <c r="I107" s="10" t="s">
        <v>720</v>
      </c>
      <c r="J107" s="10" t="s">
        <v>23</v>
      </c>
      <c r="K107" s="10"/>
      <c r="L107" s="10"/>
      <c r="M107" s="10"/>
    </row>
    <row r="108" customFormat="false" ht="23.85" hidden="false" customHeight="false" outlineLevel="0" collapsed="false">
      <c r="A108" s="10" t="s">
        <v>721</v>
      </c>
      <c r="B108" s="11" t="s">
        <v>50</v>
      </c>
      <c r="C108" s="10" t="s">
        <v>722</v>
      </c>
      <c r="D108" s="10" t="s">
        <v>723</v>
      </c>
      <c r="E108" s="10" t="s">
        <v>724</v>
      </c>
      <c r="F108" s="10" t="s">
        <v>725</v>
      </c>
      <c r="G108" s="10" t="s">
        <v>726</v>
      </c>
      <c r="H108" s="12" t="s">
        <v>71</v>
      </c>
      <c r="I108" s="10" t="s">
        <v>663</v>
      </c>
      <c r="J108" s="10" t="s">
        <v>23</v>
      </c>
      <c r="K108" s="10"/>
      <c r="L108" s="10"/>
      <c r="M108" s="10"/>
    </row>
    <row r="109" customFormat="false" ht="23.85" hidden="false" customHeight="false" outlineLevel="0" collapsed="false">
      <c r="A109" s="10" t="s">
        <v>727</v>
      </c>
      <c r="B109" s="11" t="s">
        <v>50</v>
      </c>
      <c r="C109" s="10" t="s">
        <v>728</v>
      </c>
      <c r="D109" s="10" t="s">
        <v>729</v>
      </c>
      <c r="E109" s="10" t="s">
        <v>730</v>
      </c>
      <c r="F109" s="10" t="s">
        <v>731</v>
      </c>
      <c r="G109" s="10" t="s">
        <v>732</v>
      </c>
      <c r="H109" s="15" t="s">
        <v>158</v>
      </c>
      <c r="I109" s="10" t="s">
        <v>733</v>
      </c>
      <c r="J109" s="10" t="s">
        <v>23</v>
      </c>
      <c r="K109" s="10"/>
      <c r="L109" s="10"/>
      <c r="M109" s="10"/>
    </row>
    <row r="110" customFormat="false" ht="23.85" hidden="false" customHeight="false" outlineLevel="0" collapsed="false">
      <c r="A110" s="10" t="s">
        <v>734</v>
      </c>
      <c r="B110" s="11" t="s">
        <v>50</v>
      </c>
      <c r="C110" s="10" t="s">
        <v>735</v>
      </c>
      <c r="D110" s="10" t="s">
        <v>736</v>
      </c>
      <c r="E110" s="10" t="s">
        <v>737</v>
      </c>
      <c r="F110" s="10" t="s">
        <v>738</v>
      </c>
      <c r="G110" s="10" t="s">
        <v>739</v>
      </c>
      <c r="H110" s="14" t="s">
        <v>128</v>
      </c>
      <c r="I110" s="10" t="s">
        <v>550</v>
      </c>
      <c r="J110" s="10" t="s">
        <v>23</v>
      </c>
      <c r="K110" s="10"/>
      <c r="L110" s="10"/>
      <c r="M110" s="10"/>
    </row>
    <row r="111" customFormat="false" ht="23.85" hidden="false" customHeight="false" outlineLevel="0" collapsed="false">
      <c r="A111" s="10" t="s">
        <v>740</v>
      </c>
      <c r="B111" s="11" t="s">
        <v>50</v>
      </c>
      <c r="C111" s="10" t="s">
        <v>741</v>
      </c>
      <c r="D111" s="10" t="s">
        <v>742</v>
      </c>
      <c r="E111" s="10" t="s">
        <v>743</v>
      </c>
      <c r="F111" s="10" t="s">
        <v>744</v>
      </c>
      <c r="G111" s="10" t="s">
        <v>745</v>
      </c>
      <c r="H111" s="12" t="s">
        <v>71</v>
      </c>
      <c r="I111" s="10" t="s">
        <v>746</v>
      </c>
      <c r="J111" s="10" t="s">
        <v>23</v>
      </c>
      <c r="K111" s="10"/>
      <c r="L111" s="10"/>
      <c r="M111" s="10"/>
    </row>
    <row r="112" customFormat="false" ht="23.85" hidden="false" customHeight="false" outlineLevel="0" collapsed="false">
      <c r="A112" s="10" t="s">
        <v>747</v>
      </c>
      <c r="B112" s="11" t="s">
        <v>51</v>
      </c>
      <c r="C112" s="10" t="s">
        <v>748</v>
      </c>
      <c r="D112" s="10" t="s">
        <v>749</v>
      </c>
      <c r="E112" s="10" t="s">
        <v>750</v>
      </c>
      <c r="F112" s="10" t="s">
        <v>751</v>
      </c>
      <c r="G112" s="10" t="s">
        <v>752</v>
      </c>
      <c r="H112" s="15" t="s">
        <v>158</v>
      </c>
      <c r="I112" s="10" t="s">
        <v>753</v>
      </c>
      <c r="J112" s="10" t="s">
        <v>23</v>
      </c>
      <c r="K112" s="10"/>
      <c r="L112" s="10"/>
      <c r="M112" s="10"/>
    </row>
    <row r="113" customFormat="false" ht="23.85" hidden="false" customHeight="false" outlineLevel="0" collapsed="false">
      <c r="A113" s="10" t="s">
        <v>754</v>
      </c>
      <c r="B113" s="11" t="s">
        <v>51</v>
      </c>
      <c r="C113" s="10" t="s">
        <v>755</v>
      </c>
      <c r="D113" s="10" t="s">
        <v>756</v>
      </c>
      <c r="E113" s="10" t="s">
        <v>757</v>
      </c>
      <c r="F113" s="10" t="s">
        <v>758</v>
      </c>
      <c r="G113" s="10" t="s">
        <v>759</v>
      </c>
      <c r="H113" s="13" t="s">
        <v>79</v>
      </c>
      <c r="I113" s="10" t="s">
        <v>760</v>
      </c>
      <c r="J113" s="10" t="s">
        <v>23</v>
      </c>
      <c r="K113" s="10"/>
      <c r="L113" s="10"/>
      <c r="M113" s="10"/>
    </row>
    <row r="114" customFormat="false" ht="23.85" hidden="false" customHeight="false" outlineLevel="0" collapsed="false">
      <c r="A114" s="10" t="s">
        <v>761</v>
      </c>
      <c r="B114" s="11" t="s">
        <v>51</v>
      </c>
      <c r="C114" s="10" t="s">
        <v>762</v>
      </c>
      <c r="D114" s="10" t="s">
        <v>763</v>
      </c>
      <c r="E114" s="10" t="s">
        <v>764</v>
      </c>
      <c r="F114" s="10" t="s">
        <v>765</v>
      </c>
      <c r="G114" s="10" t="s">
        <v>766</v>
      </c>
      <c r="H114" s="12" t="s">
        <v>71</v>
      </c>
      <c r="I114" s="10" t="s">
        <v>689</v>
      </c>
      <c r="J114" s="10" t="s">
        <v>23</v>
      </c>
      <c r="K114" s="10"/>
      <c r="L114" s="10"/>
      <c r="M114" s="10"/>
    </row>
    <row r="115" customFormat="false" ht="23.85" hidden="false" customHeight="false" outlineLevel="0" collapsed="false">
      <c r="A115" s="10" t="s">
        <v>767</v>
      </c>
      <c r="B115" s="11" t="s">
        <v>51</v>
      </c>
      <c r="C115" s="10" t="s">
        <v>768</v>
      </c>
      <c r="D115" s="10" t="s">
        <v>769</v>
      </c>
      <c r="E115" s="10" t="s">
        <v>770</v>
      </c>
      <c r="F115" s="10" t="s">
        <v>771</v>
      </c>
      <c r="G115" s="10" t="s">
        <v>772</v>
      </c>
      <c r="H115" s="15" t="s">
        <v>158</v>
      </c>
      <c r="I115" s="10" t="s">
        <v>689</v>
      </c>
      <c r="J115" s="10" t="s">
        <v>23</v>
      </c>
      <c r="K115" s="10"/>
      <c r="L115" s="10"/>
      <c r="M115" s="10"/>
    </row>
    <row r="116" customFormat="false" ht="23.85" hidden="false" customHeight="false" outlineLevel="0" collapsed="false">
      <c r="A116" s="10" t="s">
        <v>773</v>
      </c>
      <c r="B116" s="11" t="s">
        <v>52</v>
      </c>
      <c r="C116" s="10" t="s">
        <v>774</v>
      </c>
      <c r="D116" s="10" t="s">
        <v>775</v>
      </c>
      <c r="E116" s="10" t="s">
        <v>776</v>
      </c>
      <c r="F116" s="10" t="s">
        <v>777</v>
      </c>
      <c r="G116" s="10" t="s">
        <v>778</v>
      </c>
      <c r="H116" s="14" t="s">
        <v>128</v>
      </c>
      <c r="I116" s="10" t="s">
        <v>779</v>
      </c>
      <c r="J116" s="10" t="s">
        <v>23</v>
      </c>
      <c r="K116" s="10"/>
      <c r="L116" s="10"/>
      <c r="M116" s="10"/>
    </row>
    <row r="117" customFormat="false" ht="23.85" hidden="false" customHeight="false" outlineLevel="0" collapsed="false">
      <c r="A117" s="10" t="s">
        <v>780</v>
      </c>
      <c r="B117" s="11" t="s">
        <v>52</v>
      </c>
      <c r="C117" s="10" t="s">
        <v>781</v>
      </c>
      <c r="D117" s="10" t="s">
        <v>782</v>
      </c>
      <c r="E117" s="10" t="s">
        <v>783</v>
      </c>
      <c r="F117" s="10" t="s">
        <v>784</v>
      </c>
      <c r="G117" s="10" t="s">
        <v>785</v>
      </c>
      <c r="H117" s="14" t="s">
        <v>128</v>
      </c>
      <c r="I117" s="10" t="s">
        <v>779</v>
      </c>
      <c r="J117" s="10" t="s">
        <v>23</v>
      </c>
      <c r="K117" s="10"/>
      <c r="L117" s="10"/>
      <c r="M117" s="10"/>
    </row>
  </sheetData>
  <autoFilter ref="A1:M1"/>
  <conditionalFormatting sqref="J2:J117">
    <cfRule type="cellIs" priority="2" operator="equal" aboveAverage="0" equalAverage="0" bottom="0" percent="0" rank="0" text="" dxfId="2">
      <formula>"Pass"</formula>
    </cfRule>
    <cfRule type="cellIs" priority="3" operator="equal" aboveAverage="0" equalAverage="0" bottom="0" percent="0" rank="0" text="" dxfId="3">
      <formula>"Fail"</formula>
    </cfRule>
    <cfRule type="cellIs" priority="4" operator="equal" aboveAverage="0" equalAverage="0" bottom="0" percent="0" rank="0" text="" dxfId="4">
      <formula>"Blocked"</formula>
    </cfRule>
    <cfRule type="cellIs" priority="5" operator="equal" aboveAverage="0" equalAverage="0" bottom="0" percent="0" rank="0" text="" dxfId="5">
      <formula>"Not Tested"</formula>
    </cfRule>
    <cfRule type="cellIs" priority="6" operator="equal" aboveAverage="0" equalAverage="0" bottom="0" percent="0" rank="0" text="" dxfId="6">
      <formula>"N/A"</formula>
    </cfRule>
  </conditionalFormatting>
  <dataValidations count="1">
    <dataValidation allowBlank="true" errorStyle="stop" operator="between" showDropDown="false" showErrorMessage="false" showInputMessage="false" sqref="J2:J117" type="list">
      <formula1>"Not Tested,Pass,Fail,Blocked,N/A"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2026-07-19T10:49:56Z</dcterms:created>
  <dc:creator>openpyxl</dc:creator>
  <dc:description/>
  <dc:language>en-US</dc:language>
  <cp:lastModifiedBy/>
  <dcterms:modified xsi:type="dcterms:W3CDTF">2026-07-19T10:49:56Z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